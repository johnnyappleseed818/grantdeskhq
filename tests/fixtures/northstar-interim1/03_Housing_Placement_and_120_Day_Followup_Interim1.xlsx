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8fcfae09a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cement &amp; Follow-up" sheetId="1" r:id="R1174d10bd8df4d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a4d64daac4347" /><Relationship Type="http://schemas.openxmlformats.org/officeDocument/2006/relationships/theme" Target="/xl/theme/theme1.xml" Id="R9f74d260bec14ffb" /><Relationship Type="http://schemas.openxmlformats.org/officeDocument/2006/relationships/sharedStrings" Target="/xl/sharedStrings.xml" Id="Rf351bf89201d4e87" /><Relationship Type="http://schemas.openxmlformats.org/officeDocument/2006/relationships/worksheet" Target="/xl/worksheets/sheet1.xml" Id="R1174d10bd8df4d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30" hidden="0" customWidth="1"/>
    <x:col min="5" max="5" width="18" hidden="0" customWidth="1"/>
    <x:col min="6" max="6" width="24" hidden="0" customWidth="1"/>
    <x:col min="7" max="7" width="22" hidden="0" customWidth="1"/>
    <x:col min="8" max="8" width="16" hidden="0" customWidth="1"/>
    <x:col min="9" max="9" width="20" hidden="0" customWidth="1"/>
  </x:cols>
  <x:sheetData>
    <x:row r="1">
      <x:c r="A1" s="8" t="str">
        <x:v>BridgeWorks Family Services - Housing Placement and 120-Day Follow-up Records</x:v>
      </x:c>
      <x:c r="B1" s="8"/>
      <x:c r="C1" s="8"/>
      <x:c r="D1" s="8"/>
      <x:c r="E1" s="8"/>
      <x:c r="F1" s="8"/>
      <x:c r="G1" s="8"/>
      <x:c r="H1" s="8"/>
      <x:c r="I1" s="8"/>
    </x:row>
    <x:row r="2">
      <x:c r="A2" t="str">
        <x:v>Reporting cutoff</x:v>
      </x:c>
      <x:c r="B2" t="str">
        <x:v>2027-07-31</x:v>
      </x:c>
      <x:c r="D2" t="str">
        <x:v>Stable housing placements</x:v>
      </x:c>
      <x:c r="E2" t="n">
        <x:f>COUNTIF(D6:D103,"Stable housing placement")</x:f>
        <x:v>98</x:v>
      </x:c>
      <x:c r="F2" t="str">
        <x:v>Stable at 120 days</x:v>
      </x:c>
      <x:c r="G2" t="n">
        <x:f>COUNTIFS(G6:G103,"Eligible",H6:H103,"Stable")</x:f>
        <x:v>40</x:v>
      </x:c>
    </x:row>
    <x:row r="3">
      <x:c r="D3" t="str">
        <x:v>120-day eligible cohort</x:v>
      </x:c>
      <x:c r="E3" t="n">
        <x:f>COUNTIF(G6:G103,"Eligible")</x:f>
        <x:v>49</x:v>
      </x:c>
      <x:c r="F3" t="str">
        <x:v>120-day stability rate</x:v>
      </x:c>
      <x:c r="G3" s="4" t="n">
        <x:f>G2/E3</x:f>
        <x:v>0.8163265306122449</x:v>
      </x:c>
    </x:row>
    <x:row r="5">
      <x:c r="A5" s="15" t="str">
        <x:v>Placement ID</x:v>
      </x:c>
      <x:c r="B5" s="15" t="str">
        <x:v>Household ID</x:v>
      </x:c>
      <x:c r="C5" s="15" t="str">
        <x:v>Placement Date</x:v>
      </x:c>
      <x:c r="D5" s="15" t="str">
        <x:v>Placement Status</x:v>
      </x:c>
      <x:c r="E5" s="15" t="str">
        <x:v>Placement Evidence Ref</x:v>
      </x:c>
      <x:c r="F5" s="15" t="str">
        <x:v>120-Day Due Date</x:v>
      </x:c>
      <x:c r="G5" s="15" t="str">
        <x:v>Cohort Status at 7/31</x:v>
      </x:c>
      <x:c r="H5" s="15" t="str">
        <x:v>120-Day Outcome</x:v>
      </x:c>
      <x:c r="I5" s="15" t="str">
        <x:v>Follow-up Evidence Ref</x:v>
      </x:c>
    </x:row>
    <x:row r="6">
      <x:c r="A6" s="20" t="str">
        <x:v>PLC-0001</x:v>
      </x:c>
      <x:c r="B6" s="20" t="str">
        <x:v>BW-HH-001</x:v>
      </x:c>
      <x:c r="C6" s="21" t="n">
        <x:v>46420</x:v>
      </x:c>
      <x:c r="D6" s="20" t="str">
        <x:v>Stable housing placement</x:v>
      </x:c>
      <x:c r="E6" s="20" t="str">
        <x:v>LEASE-0001</x:v>
      </x:c>
      <x:c r="F6" s="21" t="n">
        <x:v>46540</x:v>
      </x:c>
      <x:c r="G6" s="20" t="str">
        <x:v>Eligible</x:v>
      </x:c>
      <x:c r="H6" s="20" t="str">
        <x:v>Stable</x:v>
      </x:c>
      <x:c r="I6" s="20" t="str">
        <x:v>FUP120-0001</x:v>
      </x:c>
    </x:row>
    <x:row r="7">
      <x:c r="A7" s="20" t="str">
        <x:v>PLC-0002</x:v>
      </x:c>
      <x:c r="B7" s="20" t="str">
        <x:v>BW-HH-002</x:v>
      </x:c>
      <x:c r="C7" s="21" t="n">
        <x:v>46421</x:v>
      </x:c>
      <x:c r="D7" s="20" t="str">
        <x:v>Stable housing placement</x:v>
      </x:c>
      <x:c r="E7" s="20" t="str">
        <x:v>LEASE-0002</x:v>
      </x:c>
      <x:c r="F7" s="21" t="n">
        <x:v>46541</x:v>
      </x:c>
      <x:c r="G7" s="20" t="str">
        <x:v>Eligible</x:v>
      </x:c>
      <x:c r="H7" s="20" t="str">
        <x:v>Stable</x:v>
      </x:c>
      <x:c r="I7" s="20" t="str">
        <x:v>FUP120-0002</x:v>
      </x:c>
    </x:row>
    <x:row r="8">
      <x:c r="A8" s="20" t="str">
        <x:v>PLC-0003</x:v>
      </x:c>
      <x:c r="B8" s="20" t="str">
        <x:v>BW-HH-003</x:v>
      </x:c>
      <x:c r="C8" s="21" t="n">
        <x:v>46422</x:v>
      </x:c>
      <x:c r="D8" s="20" t="str">
        <x:v>Stable housing placement</x:v>
      </x:c>
      <x:c r="E8" s="20" t="str">
        <x:v>LEASE-0003</x:v>
      </x:c>
      <x:c r="F8" s="21" t="n">
        <x:v>46542</x:v>
      </x:c>
      <x:c r="G8" s="20" t="str">
        <x:v>Eligible</x:v>
      </x:c>
      <x:c r="H8" s="20" t="str">
        <x:v>Stable</x:v>
      </x:c>
      <x:c r="I8" s="20" t="str">
        <x:v>FUP120-0003</x:v>
      </x:c>
    </x:row>
    <x:row r="9">
      <x:c r="A9" s="20" t="str">
        <x:v>PLC-0004</x:v>
      </x:c>
      <x:c r="B9" s="20" t="str">
        <x:v>BW-HH-004</x:v>
      </x:c>
      <x:c r="C9" s="21" t="n">
        <x:v>46424</x:v>
      </x:c>
      <x:c r="D9" s="20" t="str">
        <x:v>Stable housing placement</x:v>
      </x:c>
      <x:c r="E9" s="20" t="str">
        <x:v>LEASE-0004</x:v>
      </x:c>
      <x:c r="F9" s="21" t="n">
        <x:v>46544</x:v>
      </x:c>
      <x:c r="G9" s="20" t="str">
        <x:v>Eligible</x:v>
      </x:c>
      <x:c r="H9" s="20" t="str">
        <x:v>Stable</x:v>
      </x:c>
      <x:c r="I9" s="20" t="str">
        <x:v>FUP120-0004</x:v>
      </x:c>
    </x:row>
    <x:row r="10">
      <x:c r="A10" s="20" t="str">
        <x:v>PLC-0005</x:v>
      </x:c>
      <x:c r="B10" s="20" t="str">
        <x:v>BW-HH-005</x:v>
      </x:c>
      <x:c r="C10" s="21" t="n">
        <x:v>46425</x:v>
      </x:c>
      <x:c r="D10" s="20" t="str">
        <x:v>Stable housing placement</x:v>
      </x:c>
      <x:c r="E10" s="20" t="str">
        <x:v>LEASE-0005</x:v>
      </x:c>
      <x:c r="F10" s="21" t="n">
        <x:v>46545</x:v>
      </x:c>
      <x:c r="G10" s="20" t="str">
        <x:v>Eligible</x:v>
      </x:c>
      <x:c r="H10" s="20" t="str">
        <x:v>Stable</x:v>
      </x:c>
      <x:c r="I10" s="20" t="str">
        <x:v>FUP120-0005</x:v>
      </x:c>
    </x:row>
    <x:row r="11">
      <x:c r="A11" s="20" t="str">
        <x:v>PLC-0006</x:v>
      </x:c>
      <x:c r="B11" s="20" t="str">
        <x:v>BW-HH-006</x:v>
      </x:c>
      <x:c r="C11" s="21" t="n">
        <x:v>46426</x:v>
      </x:c>
      <x:c r="D11" s="20" t="str">
        <x:v>Stable housing placement</x:v>
      </x:c>
      <x:c r="E11" s="20" t="str">
        <x:v>LEASE-0006</x:v>
      </x:c>
      <x:c r="F11" s="21" t="n">
        <x:v>46546</x:v>
      </x:c>
      <x:c r="G11" s="20" t="str">
        <x:v>Eligible</x:v>
      </x:c>
      <x:c r="H11" s="20" t="str">
        <x:v>Stable</x:v>
      </x:c>
      <x:c r="I11" s="20" t="str">
        <x:v>FUP120-0006</x:v>
      </x:c>
    </x:row>
    <x:row r="12">
      <x:c r="A12" s="20" t="str">
        <x:v>PLC-0007</x:v>
      </x:c>
      <x:c r="B12" s="20" t="str">
        <x:v>BW-HH-007</x:v>
      </x:c>
      <x:c r="C12" s="21" t="n">
        <x:v>46427</x:v>
      </x:c>
      <x:c r="D12" s="20" t="str">
        <x:v>Stable housing placement</x:v>
      </x:c>
      <x:c r="E12" s="20" t="str">
        <x:v>LEASE-0007</x:v>
      </x:c>
      <x:c r="F12" s="21" t="n">
        <x:v>46547</x:v>
      </x:c>
      <x:c r="G12" s="20" t="str">
        <x:v>Eligible</x:v>
      </x:c>
      <x:c r="H12" s="20" t="str">
        <x:v>Stable</x:v>
      </x:c>
      <x:c r="I12" s="20" t="str">
        <x:v>FUP120-0007</x:v>
      </x:c>
    </x:row>
    <x:row r="13">
      <x:c r="A13" s="20" t="str">
        <x:v>PLC-0008</x:v>
      </x:c>
      <x:c r="B13" s="20" t="str">
        <x:v>BW-HH-008</x:v>
      </x:c>
      <x:c r="C13" s="21" t="n">
        <x:v>46429</x:v>
      </x:c>
      <x:c r="D13" s="20" t="str">
        <x:v>Stable housing placement</x:v>
      </x:c>
      <x:c r="E13" s="20" t="str">
        <x:v>LEASE-0008</x:v>
      </x:c>
      <x:c r="F13" s="21" t="n">
        <x:v>46549</x:v>
      </x:c>
      <x:c r="G13" s="20" t="str">
        <x:v>Eligible</x:v>
      </x:c>
      <x:c r="H13" s="20" t="str">
        <x:v>Stable</x:v>
      </x:c>
      <x:c r="I13" s="20" t="str">
        <x:v>FUP120-0008</x:v>
      </x:c>
    </x:row>
    <x:row r="14">
      <x:c r="A14" s="20" t="str">
        <x:v>PLC-0009</x:v>
      </x:c>
      <x:c r="B14" s="20" t="str">
        <x:v>BW-HH-009</x:v>
      </x:c>
      <x:c r="C14" s="21" t="n">
        <x:v>46430</x:v>
      </x:c>
      <x:c r="D14" s="20" t="str">
        <x:v>Stable housing placement</x:v>
      </x:c>
      <x:c r="E14" s="20" t="str">
        <x:v>LEASE-0009</x:v>
      </x:c>
      <x:c r="F14" s="21" t="n">
        <x:v>46550</x:v>
      </x:c>
      <x:c r="G14" s="20" t="str">
        <x:v>Eligible</x:v>
      </x:c>
      <x:c r="H14" s="20" t="str">
        <x:v>Stable</x:v>
      </x:c>
      <x:c r="I14" s="20" t="str">
        <x:v>FUP120-0009</x:v>
      </x:c>
    </x:row>
    <x:row r="15">
      <x:c r="A15" s="20" t="str">
        <x:v>PLC-0010</x:v>
      </x:c>
      <x:c r="B15" s="20" t="str">
        <x:v>BW-HH-010</x:v>
      </x:c>
      <x:c r="C15" s="21" t="n">
        <x:v>46431</x:v>
      </x:c>
      <x:c r="D15" s="20" t="str">
        <x:v>Stable housing placement</x:v>
      </x:c>
      <x:c r="E15" s="20" t="str">
        <x:v>LEASE-0010</x:v>
      </x:c>
      <x:c r="F15" s="21" t="n">
        <x:v>46551</x:v>
      </x:c>
      <x:c r="G15" s="20" t="str">
        <x:v>Eligible</x:v>
      </x:c>
      <x:c r="H15" s="20" t="str">
        <x:v>Stable</x:v>
      </x:c>
      <x:c r="I15" s="20" t="str">
        <x:v>FUP120-0010</x:v>
      </x:c>
    </x:row>
    <x:row r="16">
      <x:c r="A16" s="20" t="str">
        <x:v>PLC-0011</x:v>
      </x:c>
      <x:c r="B16" s="20" t="str">
        <x:v>BW-HH-011</x:v>
      </x:c>
      <x:c r="C16" s="21" t="n">
        <x:v>46432</x:v>
      </x:c>
      <x:c r="D16" s="20" t="str">
        <x:v>Stable housing placement</x:v>
      </x:c>
      <x:c r="E16" s="20" t="str">
        <x:v>LEASE-0011</x:v>
      </x:c>
      <x:c r="F16" s="21" t="n">
        <x:v>46552</x:v>
      </x:c>
      <x:c r="G16" s="20" t="str">
        <x:v>Eligible</x:v>
      </x:c>
      <x:c r="H16" s="20" t="str">
        <x:v>Stable</x:v>
      </x:c>
      <x:c r="I16" s="20" t="str">
        <x:v>FUP120-0011</x:v>
      </x:c>
    </x:row>
    <x:row r="17">
      <x:c r="A17" s="20" t="str">
        <x:v>PLC-0012</x:v>
      </x:c>
      <x:c r="B17" s="20" t="str">
        <x:v>BW-HH-012</x:v>
      </x:c>
      <x:c r="C17" s="21" t="n">
        <x:v>46434</x:v>
      </x:c>
      <x:c r="D17" s="20" t="str">
        <x:v>Stable housing placement</x:v>
      </x:c>
      <x:c r="E17" s="20" t="str">
        <x:v>LEASE-0012</x:v>
      </x:c>
      <x:c r="F17" s="21" t="n">
        <x:v>46554</x:v>
      </x:c>
      <x:c r="G17" s="20" t="str">
        <x:v>Eligible</x:v>
      </x:c>
      <x:c r="H17" s="20" t="str">
        <x:v>Stable</x:v>
      </x:c>
      <x:c r="I17" s="20" t="str">
        <x:v>FUP120-0012</x:v>
      </x:c>
    </x:row>
    <x:row r="18">
      <x:c r="A18" s="20" t="str">
        <x:v>PLC-0013</x:v>
      </x:c>
      <x:c r="B18" s="20" t="str">
        <x:v>BW-HH-013</x:v>
      </x:c>
      <x:c r="C18" s="21" t="n">
        <x:v>46435</x:v>
      </x:c>
      <x:c r="D18" s="20" t="str">
        <x:v>Stable housing placement</x:v>
      </x:c>
      <x:c r="E18" s="20" t="str">
        <x:v>LEASE-0013</x:v>
      </x:c>
      <x:c r="F18" s="21" t="n">
        <x:v>46555</x:v>
      </x:c>
      <x:c r="G18" s="20" t="str">
        <x:v>Eligible</x:v>
      </x:c>
      <x:c r="H18" s="20" t="str">
        <x:v>Stable</x:v>
      </x:c>
      <x:c r="I18" s="20" t="str">
        <x:v>FUP120-0013</x:v>
      </x:c>
    </x:row>
    <x:row r="19">
      <x:c r="A19" s="20" t="str">
        <x:v>PLC-0014</x:v>
      </x:c>
      <x:c r="B19" s="20" t="str">
        <x:v>BW-HH-014</x:v>
      </x:c>
      <x:c r="C19" s="21" t="n">
        <x:v>46436</x:v>
      </x:c>
      <x:c r="D19" s="20" t="str">
        <x:v>Stable housing placement</x:v>
      </x:c>
      <x:c r="E19" s="20" t="str">
        <x:v>LEASE-0014</x:v>
      </x:c>
      <x:c r="F19" s="21" t="n">
        <x:v>46556</x:v>
      </x:c>
      <x:c r="G19" s="20" t="str">
        <x:v>Eligible</x:v>
      </x:c>
      <x:c r="H19" s="20" t="str">
        <x:v>Stable</x:v>
      </x:c>
      <x:c r="I19" s="20" t="str">
        <x:v>FUP120-0014</x:v>
      </x:c>
    </x:row>
    <x:row r="20">
      <x:c r="A20" s="20" t="str">
        <x:v>PLC-0015</x:v>
      </x:c>
      <x:c r="B20" s="20" t="str">
        <x:v>BW-HH-015</x:v>
      </x:c>
      <x:c r="C20" s="21" t="n">
        <x:v>46437</x:v>
      </x:c>
      <x:c r="D20" s="20" t="str">
        <x:v>Stable housing placement</x:v>
      </x:c>
      <x:c r="E20" s="20" t="str">
        <x:v>LEASE-0015</x:v>
      </x:c>
      <x:c r="F20" s="21" t="n">
        <x:v>46557</x:v>
      </x:c>
      <x:c r="G20" s="20" t="str">
        <x:v>Eligible</x:v>
      </x:c>
      <x:c r="H20" s="20" t="str">
        <x:v>Stable</x:v>
      </x:c>
      <x:c r="I20" s="20" t="str">
        <x:v>FUP120-0015</x:v>
      </x:c>
    </x:row>
    <x:row r="21">
      <x:c r="A21" s="20" t="str">
        <x:v>PLC-0016</x:v>
      </x:c>
      <x:c r="B21" s="20" t="str">
        <x:v>BW-HH-016</x:v>
      </x:c>
      <x:c r="C21" s="21" t="n">
        <x:v>46438</x:v>
      </x:c>
      <x:c r="D21" s="20" t="str">
        <x:v>Stable housing placement</x:v>
      </x:c>
      <x:c r="E21" s="20" t="str">
        <x:v>LEASE-0016</x:v>
      </x:c>
      <x:c r="F21" s="21" t="n">
        <x:v>46558</x:v>
      </x:c>
      <x:c r="G21" s="20" t="str">
        <x:v>Eligible</x:v>
      </x:c>
      <x:c r="H21" s="20" t="str">
        <x:v>Stable</x:v>
      </x:c>
      <x:c r="I21" s="20" t="str">
        <x:v>FUP120-0016</x:v>
      </x:c>
    </x:row>
    <x:row r="22">
      <x:c r="A22" s="20" t="str">
        <x:v>PLC-0017</x:v>
      </x:c>
      <x:c r="B22" s="20" t="str">
        <x:v>BW-HH-017</x:v>
      </x:c>
      <x:c r="C22" s="21" t="n">
        <x:v>46440</x:v>
      </x:c>
      <x:c r="D22" s="20" t="str">
        <x:v>Stable housing placement</x:v>
      </x:c>
      <x:c r="E22" s="20" t="str">
        <x:v>LEASE-0017</x:v>
      </x:c>
      <x:c r="F22" s="21" t="n">
        <x:v>46560</x:v>
      </x:c>
      <x:c r="G22" s="20" t="str">
        <x:v>Eligible</x:v>
      </x:c>
      <x:c r="H22" s="20" t="str">
        <x:v>Stable</x:v>
      </x:c>
      <x:c r="I22" s="20" t="str">
        <x:v>FUP120-0017</x:v>
      </x:c>
    </x:row>
    <x:row r="23">
      <x:c r="A23" s="20" t="str">
        <x:v>PLC-0018</x:v>
      </x:c>
      <x:c r="B23" s="20" t="str">
        <x:v>BW-HH-018</x:v>
      </x:c>
      <x:c r="C23" s="21" t="n">
        <x:v>46441</x:v>
      </x:c>
      <x:c r="D23" s="20" t="str">
        <x:v>Stable housing placement</x:v>
      </x:c>
      <x:c r="E23" s="20" t="str">
        <x:v>LEASE-0018</x:v>
      </x:c>
      <x:c r="F23" s="21" t="n">
        <x:v>46561</x:v>
      </x:c>
      <x:c r="G23" s="20" t="str">
        <x:v>Eligible</x:v>
      </x:c>
      <x:c r="H23" s="20" t="str">
        <x:v>Stable</x:v>
      </x:c>
      <x:c r="I23" s="20" t="str">
        <x:v>FUP120-0018</x:v>
      </x:c>
    </x:row>
    <x:row r="24">
      <x:c r="A24" s="20" t="str">
        <x:v>PLC-0019</x:v>
      </x:c>
      <x:c r="B24" s="20" t="str">
        <x:v>BW-HH-019</x:v>
      </x:c>
      <x:c r="C24" s="21" t="n">
        <x:v>46442</x:v>
      </x:c>
      <x:c r="D24" s="20" t="str">
        <x:v>Stable housing placement</x:v>
      </x:c>
      <x:c r="E24" s="20" t="str">
        <x:v>LEASE-0019</x:v>
      </x:c>
      <x:c r="F24" s="21" t="n">
        <x:v>46562</x:v>
      </x:c>
      <x:c r="G24" s="20" t="str">
        <x:v>Eligible</x:v>
      </x:c>
      <x:c r="H24" s="20" t="str">
        <x:v>Stable</x:v>
      </x:c>
      <x:c r="I24" s="20" t="str">
        <x:v>FUP120-0019</x:v>
      </x:c>
    </x:row>
    <x:row r="25">
      <x:c r="A25" s="20" t="str">
        <x:v>PLC-0020</x:v>
      </x:c>
      <x:c r="B25" s="20" t="str">
        <x:v>BW-HH-020</x:v>
      </x:c>
      <x:c r="C25" s="21" t="n">
        <x:v>46443</x:v>
      </x:c>
      <x:c r="D25" s="20" t="str">
        <x:v>Stable housing placement</x:v>
      </x:c>
      <x:c r="E25" s="20" t="str">
        <x:v>LEASE-0020</x:v>
      </x:c>
      <x:c r="F25" s="21" t="n">
        <x:v>46563</x:v>
      </x:c>
      <x:c r="G25" s="20" t="str">
        <x:v>Eligible</x:v>
      </x:c>
      <x:c r="H25" s="20" t="str">
        <x:v>Stable</x:v>
      </x:c>
      <x:c r="I25" s="20" t="str">
        <x:v>FUP120-0020</x:v>
      </x:c>
    </x:row>
    <x:row r="26">
      <x:c r="A26" s="20" t="str">
        <x:v>PLC-0021</x:v>
      </x:c>
      <x:c r="B26" s="20" t="str">
        <x:v>BW-HH-021</x:v>
      </x:c>
      <x:c r="C26" s="21" t="n">
        <x:v>46445</x:v>
      </x:c>
      <x:c r="D26" s="20" t="str">
        <x:v>Stable housing placement</x:v>
      </x:c>
      <x:c r="E26" s="20" t="str">
        <x:v>LEASE-0021</x:v>
      </x:c>
      <x:c r="F26" s="21" t="n">
        <x:v>46565</x:v>
      </x:c>
      <x:c r="G26" s="20" t="str">
        <x:v>Eligible</x:v>
      </x:c>
      <x:c r="H26" s="20" t="str">
        <x:v>Stable</x:v>
      </x:c>
      <x:c r="I26" s="20" t="str">
        <x:v>FUP120-0021</x:v>
      </x:c>
    </x:row>
    <x:row r="27">
      <x:c r="A27" s="20" t="str">
        <x:v>PLC-0022</x:v>
      </x:c>
      <x:c r="B27" s="20" t="str">
        <x:v>BW-HH-022</x:v>
      </x:c>
      <x:c r="C27" s="21" t="n">
        <x:v>46446</x:v>
      </x:c>
      <x:c r="D27" s="20" t="str">
        <x:v>Stable housing placement</x:v>
      </x:c>
      <x:c r="E27" s="20" t="str">
        <x:v>LEASE-0022</x:v>
      </x:c>
      <x:c r="F27" s="21" t="n">
        <x:v>46566</x:v>
      </x:c>
      <x:c r="G27" s="20" t="str">
        <x:v>Eligible</x:v>
      </x:c>
      <x:c r="H27" s="20" t="str">
        <x:v>Stable</x:v>
      </x:c>
      <x:c r="I27" s="20" t="str">
        <x:v>FUP120-0022</x:v>
      </x:c>
    </x:row>
    <x:row r="28">
      <x:c r="A28" s="20" t="str">
        <x:v>PLC-0023</x:v>
      </x:c>
      <x:c r="B28" s="20" t="str">
        <x:v>BW-HH-023</x:v>
      </x:c>
      <x:c r="C28" s="21" t="n">
        <x:v>46447</x:v>
      </x:c>
      <x:c r="D28" s="20" t="str">
        <x:v>Stable housing placement</x:v>
      </x:c>
      <x:c r="E28" s="20" t="str">
        <x:v>LEASE-0023</x:v>
      </x:c>
      <x:c r="F28" s="21" t="n">
        <x:v>46567</x:v>
      </x:c>
      <x:c r="G28" s="20" t="str">
        <x:v>Eligible</x:v>
      </x:c>
      <x:c r="H28" s="20" t="str">
        <x:v>Stable</x:v>
      </x:c>
      <x:c r="I28" s="20" t="str">
        <x:v>FUP120-0023</x:v>
      </x:c>
    </x:row>
    <x:row r="29">
      <x:c r="A29" s="20" t="str">
        <x:v>PLC-0024</x:v>
      </x:c>
      <x:c r="B29" s="20" t="str">
        <x:v>BW-HH-024</x:v>
      </x:c>
      <x:c r="C29" s="21" t="n">
        <x:v>46448</x:v>
      </x:c>
      <x:c r="D29" s="20" t="str">
        <x:v>Stable housing placement</x:v>
      </x:c>
      <x:c r="E29" s="20" t="str">
        <x:v>LEASE-0024</x:v>
      </x:c>
      <x:c r="F29" s="21" t="n">
        <x:v>46568</x:v>
      </x:c>
      <x:c r="G29" s="20" t="str">
        <x:v>Eligible</x:v>
      </x:c>
      <x:c r="H29" s="20" t="str">
        <x:v>Stable</x:v>
      </x:c>
      <x:c r="I29" s="20" t="str">
        <x:v>FUP120-0024</x:v>
      </x:c>
    </x:row>
    <x:row r="30">
      <x:c r="A30" s="20" t="str">
        <x:v>PLC-0025</x:v>
      </x:c>
      <x:c r="B30" s="20" t="str">
        <x:v>BW-HH-025</x:v>
      </x:c>
      <x:c r="C30" s="21" t="n">
        <x:v>46450</x:v>
      </x:c>
      <x:c r="D30" s="20" t="str">
        <x:v>Stable housing placement</x:v>
      </x:c>
      <x:c r="E30" s="20" t="str">
        <x:v>LEASE-0025</x:v>
      </x:c>
      <x:c r="F30" s="21" t="n">
        <x:v>46570</x:v>
      </x:c>
      <x:c r="G30" s="20" t="str">
        <x:v>Eligible</x:v>
      </x:c>
      <x:c r="H30" s="20" t="str">
        <x:v>Stable</x:v>
      </x:c>
      <x:c r="I30" s="20" t="str">
        <x:v>FUP120-0025</x:v>
      </x:c>
    </x:row>
    <x:row r="31">
      <x:c r="A31" s="20" t="str">
        <x:v>PLC-0026</x:v>
      </x:c>
      <x:c r="B31" s="20" t="str">
        <x:v>BW-HH-026</x:v>
      </x:c>
      <x:c r="C31" s="21" t="n">
        <x:v>46451</x:v>
      </x:c>
      <x:c r="D31" s="20" t="str">
        <x:v>Stable housing placement</x:v>
      </x:c>
      <x:c r="E31" s="20" t="str">
        <x:v>LEASE-0026</x:v>
      </x:c>
      <x:c r="F31" s="21" t="n">
        <x:v>46571</x:v>
      </x:c>
      <x:c r="G31" s="20" t="str">
        <x:v>Eligible</x:v>
      </x:c>
      <x:c r="H31" s="20" t="str">
        <x:v>Stable</x:v>
      </x:c>
      <x:c r="I31" s="20" t="str">
        <x:v>FUP120-0026</x:v>
      </x:c>
    </x:row>
    <x:row r="32">
      <x:c r="A32" s="20" t="str">
        <x:v>PLC-0027</x:v>
      </x:c>
      <x:c r="B32" s="20" t="str">
        <x:v>BW-HH-027</x:v>
      </x:c>
      <x:c r="C32" s="21" t="n">
        <x:v>46452</x:v>
      </x:c>
      <x:c r="D32" s="20" t="str">
        <x:v>Stable housing placement</x:v>
      </x:c>
      <x:c r="E32" s="20" t="str">
        <x:v>LEASE-0027</x:v>
      </x:c>
      <x:c r="F32" s="21" t="n">
        <x:v>46572</x:v>
      </x:c>
      <x:c r="G32" s="20" t="str">
        <x:v>Eligible</x:v>
      </x:c>
      <x:c r="H32" s="20" t="str">
        <x:v>Stable</x:v>
      </x:c>
      <x:c r="I32" s="20" t="str">
        <x:v>FUP120-0027</x:v>
      </x:c>
    </x:row>
    <x:row r="33">
      <x:c r="A33" s="20" t="str">
        <x:v>PLC-0028</x:v>
      </x:c>
      <x:c r="B33" s="20" t="str">
        <x:v>BW-HH-028</x:v>
      </x:c>
      <x:c r="C33" s="21" t="n">
        <x:v>46453</x:v>
      </x:c>
      <x:c r="D33" s="20" t="str">
        <x:v>Stable housing placement</x:v>
      </x:c>
      <x:c r="E33" s="20" t="str">
        <x:v>LEASE-0028</x:v>
      </x:c>
      <x:c r="F33" s="21" t="n">
        <x:v>46573</x:v>
      </x:c>
      <x:c r="G33" s="20" t="str">
        <x:v>Eligible</x:v>
      </x:c>
      <x:c r="H33" s="20" t="str">
        <x:v>Stable</x:v>
      </x:c>
      <x:c r="I33" s="20" t="str">
        <x:v>FUP120-0028</x:v>
      </x:c>
    </x:row>
    <x:row r="34">
      <x:c r="A34" s="20" t="str">
        <x:v>PLC-0029</x:v>
      </x:c>
      <x:c r="B34" s="20" t="str">
        <x:v>BW-HH-029</x:v>
      </x:c>
      <x:c r="C34" s="21" t="n">
        <x:v>46454</x:v>
      </x:c>
      <x:c r="D34" s="20" t="str">
        <x:v>Stable housing placement</x:v>
      </x:c>
      <x:c r="E34" s="20" t="str">
        <x:v>LEASE-0029</x:v>
      </x:c>
      <x:c r="F34" s="21" t="n">
        <x:v>46574</x:v>
      </x:c>
      <x:c r="G34" s="20" t="str">
        <x:v>Eligible</x:v>
      </x:c>
      <x:c r="H34" s="20" t="str">
        <x:v>Stable</x:v>
      </x:c>
      <x:c r="I34" s="20" t="str">
        <x:v>FUP120-0029</x:v>
      </x:c>
    </x:row>
    <x:row r="35">
      <x:c r="A35" s="20" t="str">
        <x:v>PLC-0030</x:v>
      </x:c>
      <x:c r="B35" s="20" t="str">
        <x:v>BW-HH-030</x:v>
      </x:c>
      <x:c r="C35" s="21" t="n">
        <x:v>46456</x:v>
      </x:c>
      <x:c r="D35" s="20" t="str">
        <x:v>Stable housing placement</x:v>
      </x:c>
      <x:c r="E35" s="20" t="str">
        <x:v>LEASE-0030</x:v>
      </x:c>
      <x:c r="F35" s="21" t="n">
        <x:v>46576</x:v>
      </x:c>
      <x:c r="G35" s="20" t="str">
        <x:v>Eligible</x:v>
      </x:c>
      <x:c r="H35" s="20" t="str">
        <x:v>Stable</x:v>
      </x:c>
      <x:c r="I35" s="20" t="str">
        <x:v>FUP120-0030</x:v>
      </x:c>
    </x:row>
    <x:row r="36">
      <x:c r="A36" s="20" t="str">
        <x:v>PLC-0031</x:v>
      </x:c>
      <x:c r="B36" s="20" t="str">
        <x:v>BW-HH-031</x:v>
      </x:c>
      <x:c r="C36" s="21" t="n">
        <x:v>46457</x:v>
      </x:c>
      <x:c r="D36" s="20" t="str">
        <x:v>Stable housing placement</x:v>
      </x:c>
      <x:c r="E36" s="20" t="str">
        <x:v>LEASE-0031</x:v>
      </x:c>
      <x:c r="F36" s="21" t="n">
        <x:v>46577</x:v>
      </x:c>
      <x:c r="G36" s="20" t="str">
        <x:v>Eligible</x:v>
      </x:c>
      <x:c r="H36" s="20" t="str">
        <x:v>Stable</x:v>
      </x:c>
      <x:c r="I36" s="20" t="str">
        <x:v>FUP120-0031</x:v>
      </x:c>
    </x:row>
    <x:row r="37">
      <x:c r="A37" s="20" t="str">
        <x:v>PLC-0032</x:v>
      </x:c>
      <x:c r="B37" s="20" t="str">
        <x:v>BW-HH-032</x:v>
      </x:c>
      <x:c r="C37" s="21" t="n">
        <x:v>46458</x:v>
      </x:c>
      <x:c r="D37" s="20" t="str">
        <x:v>Stable housing placement</x:v>
      </x:c>
      <x:c r="E37" s="20" t="str">
        <x:v>LEASE-0032</x:v>
      </x:c>
      <x:c r="F37" s="21" t="n">
        <x:v>46578</x:v>
      </x:c>
      <x:c r="G37" s="20" t="str">
        <x:v>Eligible</x:v>
      </x:c>
      <x:c r="H37" s="20" t="str">
        <x:v>Stable</x:v>
      </x:c>
      <x:c r="I37" s="20" t="str">
        <x:v>FUP120-0032</x:v>
      </x:c>
    </x:row>
    <x:row r="38">
      <x:c r="A38" s="20" t="str">
        <x:v>PLC-0033</x:v>
      </x:c>
      <x:c r="B38" s="20" t="str">
        <x:v>BW-HH-033</x:v>
      </x:c>
      <x:c r="C38" s="21" t="n">
        <x:v>46459</x:v>
      </x:c>
      <x:c r="D38" s="20" t="str">
        <x:v>Stable housing placement</x:v>
      </x:c>
      <x:c r="E38" s="20" t="str">
        <x:v>LEASE-0033</x:v>
      </x:c>
      <x:c r="F38" s="21" t="n">
        <x:v>46579</x:v>
      </x:c>
      <x:c r="G38" s="20" t="str">
        <x:v>Eligible</x:v>
      </x:c>
      <x:c r="H38" s="20" t="str">
        <x:v>Stable</x:v>
      </x:c>
      <x:c r="I38" s="20" t="str">
        <x:v>FUP120-0033</x:v>
      </x:c>
    </x:row>
    <x:row r="39">
      <x:c r="A39" s="20" t="str">
        <x:v>PLC-0034</x:v>
      </x:c>
      <x:c r="B39" s="20" t="str">
        <x:v>BW-HH-034</x:v>
      </x:c>
      <x:c r="C39" s="21" t="n">
        <x:v>46461</x:v>
      </x:c>
      <x:c r="D39" s="20" t="str">
        <x:v>Stable housing placement</x:v>
      </x:c>
      <x:c r="E39" s="20" t="str">
        <x:v>LEASE-0034</x:v>
      </x:c>
      <x:c r="F39" s="21" t="n">
        <x:v>46581</x:v>
      </x:c>
      <x:c r="G39" s="20" t="str">
        <x:v>Eligible</x:v>
      </x:c>
      <x:c r="H39" s="20" t="str">
        <x:v>Stable</x:v>
      </x:c>
      <x:c r="I39" s="20" t="str">
        <x:v>FUP120-0034</x:v>
      </x:c>
    </x:row>
    <x:row r="40">
      <x:c r="A40" s="20" t="str">
        <x:v>PLC-0035</x:v>
      </x:c>
      <x:c r="B40" s="20" t="str">
        <x:v>BW-HH-035</x:v>
      </x:c>
      <x:c r="C40" s="21" t="n">
        <x:v>46462</x:v>
      </x:c>
      <x:c r="D40" s="20" t="str">
        <x:v>Stable housing placement</x:v>
      </x:c>
      <x:c r="E40" s="20" t="str">
        <x:v>LEASE-0035</x:v>
      </x:c>
      <x:c r="F40" s="21" t="n">
        <x:v>46582</x:v>
      </x:c>
      <x:c r="G40" s="20" t="str">
        <x:v>Eligible</x:v>
      </x:c>
      <x:c r="H40" s="20" t="str">
        <x:v>Stable</x:v>
      </x:c>
      <x:c r="I40" s="20" t="str">
        <x:v>FUP120-0035</x:v>
      </x:c>
    </x:row>
    <x:row r="41">
      <x:c r="A41" s="20" t="str">
        <x:v>PLC-0036</x:v>
      </x:c>
      <x:c r="B41" s="20" t="str">
        <x:v>BW-HH-036</x:v>
      </x:c>
      <x:c r="C41" s="21" t="n">
        <x:v>46463</x:v>
      </x:c>
      <x:c r="D41" s="20" t="str">
        <x:v>Stable housing placement</x:v>
      </x:c>
      <x:c r="E41" s="20" t="str">
        <x:v>LEASE-0036</x:v>
      </x:c>
      <x:c r="F41" s="21" t="n">
        <x:v>46583</x:v>
      </x:c>
      <x:c r="G41" s="20" t="str">
        <x:v>Eligible</x:v>
      </x:c>
      <x:c r="H41" s="20" t="str">
        <x:v>Stable</x:v>
      </x:c>
      <x:c r="I41" s="20" t="str">
        <x:v>FUP120-0036</x:v>
      </x:c>
    </x:row>
    <x:row r="42">
      <x:c r="A42" s="20" t="str">
        <x:v>PLC-0037</x:v>
      </x:c>
      <x:c r="B42" s="20" t="str">
        <x:v>BW-HH-037</x:v>
      </x:c>
      <x:c r="C42" s="21" t="n">
        <x:v>46464</x:v>
      </x:c>
      <x:c r="D42" s="20" t="str">
        <x:v>Stable housing placement</x:v>
      </x:c>
      <x:c r="E42" s="20" t="str">
        <x:v>LEASE-0037</x:v>
      </x:c>
      <x:c r="F42" s="21" t="n">
        <x:v>46584</x:v>
      </x:c>
      <x:c r="G42" s="20" t="str">
        <x:v>Eligible</x:v>
      </x:c>
      <x:c r="H42" s="20" t="str">
        <x:v>Stable</x:v>
      </x:c>
      <x:c r="I42" s="20" t="str">
        <x:v>FUP120-0037</x:v>
      </x:c>
    </x:row>
    <x:row r="43">
      <x:c r="A43" s="20" t="str">
        <x:v>PLC-0038</x:v>
      </x:c>
      <x:c r="B43" s="20" t="str">
        <x:v>BW-HH-038</x:v>
      </x:c>
      <x:c r="C43" s="21" t="n">
        <x:v>46465</x:v>
      </x:c>
      <x:c r="D43" s="20" t="str">
        <x:v>Stable housing placement</x:v>
      </x:c>
      <x:c r="E43" s="20" t="str">
        <x:v>LEASE-0038</x:v>
      </x:c>
      <x:c r="F43" s="21" t="n">
        <x:v>46585</x:v>
      </x:c>
      <x:c r="G43" s="20" t="str">
        <x:v>Eligible</x:v>
      </x:c>
      <x:c r="H43" s="20" t="str">
        <x:v>Stable</x:v>
      </x:c>
      <x:c r="I43" s="20" t="str">
        <x:v>FUP120-0038</x:v>
      </x:c>
    </x:row>
    <x:row r="44">
      <x:c r="A44" s="20" t="str">
        <x:v>PLC-0039</x:v>
      </x:c>
      <x:c r="B44" s="20" t="str">
        <x:v>BW-HH-039</x:v>
      </x:c>
      <x:c r="C44" s="21" t="n">
        <x:v>46467</x:v>
      </x:c>
      <x:c r="D44" s="20" t="str">
        <x:v>Stable housing placement</x:v>
      </x:c>
      <x:c r="E44" s="20" t="str">
        <x:v>LEASE-0039</x:v>
      </x:c>
      <x:c r="F44" s="21" t="n">
        <x:v>46587</x:v>
      </x:c>
      <x:c r="G44" s="20" t="str">
        <x:v>Eligible</x:v>
      </x:c>
      <x:c r="H44" s="20" t="str">
        <x:v>Stable</x:v>
      </x:c>
      <x:c r="I44" s="20" t="str">
        <x:v>FUP120-0039</x:v>
      </x:c>
    </x:row>
    <x:row r="45">
      <x:c r="A45" s="20" t="str">
        <x:v>PLC-0040</x:v>
      </x:c>
      <x:c r="B45" s="20" t="str">
        <x:v>BW-HH-040</x:v>
      </x:c>
      <x:c r="C45" s="21" t="n">
        <x:v>46468</x:v>
      </x:c>
      <x:c r="D45" s="20" t="str">
        <x:v>Stable housing placement</x:v>
      </x:c>
      <x:c r="E45" s="20" t="str">
        <x:v>LEASE-0040</x:v>
      </x:c>
      <x:c r="F45" s="21" t="n">
        <x:v>46588</x:v>
      </x:c>
      <x:c r="G45" s="20" t="str">
        <x:v>Eligible</x:v>
      </x:c>
      <x:c r="H45" s="20" t="str">
        <x:v>Stable</x:v>
      </x:c>
      <x:c r="I45" s="20" t="str">
        <x:v>FUP120-0040</x:v>
      </x:c>
    </x:row>
    <x:row r="46">
      <x:c r="A46" s="20" t="str">
        <x:v>PLC-0041</x:v>
      </x:c>
      <x:c r="B46" s="20" t="str">
        <x:v>BW-HH-041</x:v>
      </x:c>
      <x:c r="C46" s="21" t="n">
        <x:v>46469</x:v>
      </x:c>
      <x:c r="D46" s="20" t="str">
        <x:v>Stable housing placement</x:v>
      </x:c>
      <x:c r="E46" s="20" t="str">
        <x:v>LEASE-0041</x:v>
      </x:c>
      <x:c r="F46" s="21" t="n">
        <x:v>46589</x:v>
      </x:c>
      <x:c r="G46" s="20" t="str">
        <x:v>Eligible</x:v>
      </x:c>
      <x:c r="H46" s="20" t="str">
        <x:v>Not stable</x:v>
      </x:c>
      <x:c r="I46" s="20" t="str">
        <x:v>FUP120-0041</x:v>
      </x:c>
    </x:row>
    <x:row r="47">
      <x:c r="A47" s="20" t="str">
        <x:v>PLC-0042</x:v>
      </x:c>
      <x:c r="B47" s="20" t="str">
        <x:v>BW-HH-042</x:v>
      </x:c>
      <x:c r="C47" s="21" t="n">
        <x:v>46470</x:v>
      </x:c>
      <x:c r="D47" s="20" t="str">
        <x:v>Stable housing placement</x:v>
      </x:c>
      <x:c r="E47" s="20" t="str">
        <x:v>LEASE-0042</x:v>
      </x:c>
      <x:c r="F47" s="21" t="n">
        <x:v>46590</x:v>
      </x:c>
      <x:c r="G47" s="20" t="str">
        <x:v>Eligible</x:v>
      </x:c>
      <x:c r="H47" s="20" t="str">
        <x:v>Not stable</x:v>
      </x:c>
      <x:c r="I47" s="20" t="str">
        <x:v>FUP120-0042</x:v>
      </x:c>
    </x:row>
    <x:row r="48">
      <x:c r="A48" s="20" t="str">
        <x:v>PLC-0043</x:v>
      </x:c>
      <x:c r="B48" s="20" t="str">
        <x:v>BW-HH-043</x:v>
      </x:c>
      <x:c r="C48" s="21" t="n">
        <x:v>46472</x:v>
      </x:c>
      <x:c r="D48" s="20" t="str">
        <x:v>Stable housing placement</x:v>
      </x:c>
      <x:c r="E48" s="20" t="str">
        <x:v>LEASE-0043</x:v>
      </x:c>
      <x:c r="F48" s="21" t="n">
        <x:v>46592</x:v>
      </x:c>
      <x:c r="G48" s="20" t="str">
        <x:v>Eligible</x:v>
      </x:c>
      <x:c r="H48" s="20" t="str">
        <x:v>Not stable</x:v>
      </x:c>
      <x:c r="I48" s="20" t="str">
        <x:v>FUP120-0043</x:v>
      </x:c>
    </x:row>
    <x:row r="49">
      <x:c r="A49" s="20" t="str">
        <x:v>PLC-0044</x:v>
      </x:c>
      <x:c r="B49" s="20" t="str">
        <x:v>BW-HH-044</x:v>
      </x:c>
      <x:c r="C49" s="21" t="n">
        <x:v>46473</x:v>
      </x:c>
      <x:c r="D49" s="20" t="str">
        <x:v>Stable housing placement</x:v>
      </x:c>
      <x:c r="E49" s="20" t="str">
        <x:v>LEASE-0044</x:v>
      </x:c>
      <x:c r="F49" s="21" t="n">
        <x:v>46593</x:v>
      </x:c>
      <x:c r="G49" s="20" t="str">
        <x:v>Eligible</x:v>
      </x:c>
      <x:c r="H49" s="20" t="str">
        <x:v>Not stable</x:v>
      </x:c>
      <x:c r="I49" s="20" t="str">
        <x:v>FUP120-0044</x:v>
      </x:c>
    </x:row>
    <x:row r="50">
      <x:c r="A50" s="20" t="str">
        <x:v>PLC-0045</x:v>
      </x:c>
      <x:c r="B50" s="20" t="str">
        <x:v>BW-HH-045</x:v>
      </x:c>
      <x:c r="C50" s="21" t="n">
        <x:v>46474</x:v>
      </x:c>
      <x:c r="D50" s="20" t="str">
        <x:v>Stable housing placement</x:v>
      </x:c>
      <x:c r="E50" s="20" t="str">
        <x:v>LEASE-0045</x:v>
      </x:c>
      <x:c r="F50" s="21" t="n">
        <x:v>46594</x:v>
      </x:c>
      <x:c r="G50" s="20" t="str">
        <x:v>Eligible</x:v>
      </x:c>
      <x:c r="H50" s="20" t="str">
        <x:v>Not stable</x:v>
      </x:c>
      <x:c r="I50" s="20" t="str">
        <x:v>FUP120-0045</x:v>
      </x:c>
    </x:row>
    <x:row r="51">
      <x:c r="A51" s="20" t="str">
        <x:v>PLC-0046</x:v>
      </x:c>
      <x:c r="B51" s="20" t="str">
        <x:v>BW-HH-046</x:v>
      </x:c>
      <x:c r="C51" s="21" t="n">
        <x:v>46475</x:v>
      </x:c>
      <x:c r="D51" s="20" t="str">
        <x:v>Stable housing placement</x:v>
      </x:c>
      <x:c r="E51" s="20" t="str">
        <x:v>LEASE-0046</x:v>
      </x:c>
      <x:c r="F51" s="21" t="n">
        <x:v>46595</x:v>
      </x:c>
      <x:c r="G51" s="20" t="str">
        <x:v>Eligible</x:v>
      </x:c>
      <x:c r="H51" s="20" t="str">
        <x:v>Not stable</x:v>
      </x:c>
      <x:c r="I51" s="20" t="str">
        <x:v>FUP120-0046</x:v>
      </x:c>
    </x:row>
    <x:row r="52">
      <x:c r="A52" s="20" t="str">
        <x:v>PLC-0047</x:v>
      </x:c>
      <x:c r="B52" s="20" t="str">
        <x:v>BW-HH-047</x:v>
      </x:c>
      <x:c r="C52" s="21" t="n">
        <x:v>46477</x:v>
      </x:c>
      <x:c r="D52" s="20" t="str">
        <x:v>Stable housing placement</x:v>
      </x:c>
      <x:c r="E52" s="20" t="str">
        <x:v>LEASE-0047</x:v>
      </x:c>
      <x:c r="F52" s="21" t="n">
        <x:v>46597</x:v>
      </x:c>
      <x:c r="G52" s="20" t="str">
        <x:v>Eligible</x:v>
      </x:c>
      <x:c r="H52" s="20" t="str">
        <x:v>Not stable</x:v>
      </x:c>
      <x:c r="I52" s="20" t="str">
        <x:v>FUP120-0047</x:v>
      </x:c>
    </x:row>
    <x:row r="53">
      <x:c r="A53" s="20" t="str">
        <x:v>PLC-0048</x:v>
      </x:c>
      <x:c r="B53" s="20" t="str">
        <x:v>BW-HH-048</x:v>
      </x:c>
      <x:c r="C53" s="21" t="n">
        <x:v>46478</x:v>
      </x:c>
      <x:c r="D53" s="20" t="str">
        <x:v>Stable housing placement</x:v>
      </x:c>
      <x:c r="E53" s="20" t="str">
        <x:v>LEASE-0048</x:v>
      </x:c>
      <x:c r="F53" s="21" t="n">
        <x:v>46598</x:v>
      </x:c>
      <x:c r="G53" s="20" t="str">
        <x:v>Eligible</x:v>
      </x:c>
      <x:c r="H53" s="20" t="str">
        <x:v>Not stable</x:v>
      </x:c>
      <x:c r="I53" s="20" t="str">
        <x:v>FUP120-0048</x:v>
      </x:c>
    </x:row>
    <x:row r="54">
      <x:c r="A54" s="20" t="str">
        <x:v>PLC-0049</x:v>
      </x:c>
      <x:c r="B54" s="20" t="str">
        <x:v>BW-HH-049</x:v>
      </x:c>
      <x:c r="C54" s="21" t="n">
        <x:v>46479</x:v>
      </x:c>
      <x:c r="D54" s="20" t="str">
        <x:v>Stable housing placement</x:v>
      </x:c>
      <x:c r="E54" s="20" t="str">
        <x:v>LEASE-0049</x:v>
      </x:c>
      <x:c r="F54" s="21" t="n">
        <x:v>46599</x:v>
      </x:c>
      <x:c r="G54" s="20" t="str">
        <x:v>Eligible</x:v>
      </x:c>
      <x:c r="H54" s="20" t="str">
        <x:v>Not stable</x:v>
      </x:c>
      <x:c r="I54" s="20" t="str">
        <x:v>FUP120-0049</x:v>
      </x:c>
    </x:row>
    <x:row r="55">
      <x:c r="A55" s="20" t="str">
        <x:v>PLC-0050</x:v>
      </x:c>
      <x:c r="B55" s="20" t="str">
        <x:v>BW-HH-050</x:v>
      </x:c>
      <x:c r="C55" s="21" t="n">
        <x:v>46480</x:v>
      </x:c>
      <x:c r="D55" s="20" t="str">
        <x:v>Stable housing placement</x:v>
      </x:c>
      <x:c r="E55" s="20" t="str">
        <x:v>LEASE-0050</x:v>
      </x:c>
      <x:c r="F55" s="21" t="n">
        <x:v>46600</x:v>
      </x:c>
      <x:c r="G55" s="20" t="str">
        <x:v>Not yet eligible</x:v>
      </x:c>
      <x:c r="H55" s="20" t="str">
        <x:v>Not yet due</x:v>
      </x:c>
      <x:c r="I55" s="20" t="str"/>
    </x:row>
    <x:row r="56">
      <x:c r="A56" s="20" t="str">
        <x:v>PLC-0051</x:v>
      </x:c>
      <x:c r="B56" s="20" t="str">
        <x:v>BW-HH-051</x:v>
      </x:c>
      <x:c r="C56" s="21" t="n">
        <x:v>46482</x:v>
      </x:c>
      <x:c r="D56" s="20" t="str">
        <x:v>Stable housing placement</x:v>
      </x:c>
      <x:c r="E56" s="20" t="str">
        <x:v>LEASE-0051</x:v>
      </x:c>
      <x:c r="F56" s="21" t="n">
        <x:v>46602</x:v>
      </x:c>
      <x:c r="G56" s="20" t="str">
        <x:v>Not yet eligible</x:v>
      </x:c>
      <x:c r="H56" s="20" t="str">
        <x:v>Not yet due</x:v>
      </x:c>
      <x:c r="I56" s="20" t="str"/>
    </x:row>
    <x:row r="57">
      <x:c r="A57" s="20" t="str">
        <x:v>PLC-0052</x:v>
      </x:c>
      <x:c r="B57" s="20" t="str">
        <x:v>BW-HH-052</x:v>
      </x:c>
      <x:c r="C57" s="21" t="n">
        <x:v>46484</x:v>
      </x:c>
      <x:c r="D57" s="20" t="str">
        <x:v>Stable housing placement</x:v>
      </x:c>
      <x:c r="E57" s="20" t="str">
        <x:v>LEASE-0052</x:v>
      </x:c>
      <x:c r="F57" s="21" t="n">
        <x:v>46604</x:v>
      </x:c>
      <x:c r="G57" s="20" t="str">
        <x:v>Not yet eligible</x:v>
      </x:c>
      <x:c r="H57" s="20" t="str">
        <x:v>Not yet due</x:v>
      </x:c>
      <x:c r="I57" s="20" t="str"/>
    </x:row>
    <x:row r="58">
      <x:c r="A58" s="20" t="str">
        <x:v>PLC-0053</x:v>
      </x:c>
      <x:c r="B58" s="20" t="str">
        <x:v>BW-HH-053</x:v>
      </x:c>
      <x:c r="C58" s="21" t="n">
        <x:v>46487</x:v>
      </x:c>
      <x:c r="D58" s="20" t="str">
        <x:v>Stable housing placement</x:v>
      </x:c>
      <x:c r="E58" s="20" t="str">
        <x:v>LEASE-0053</x:v>
      </x:c>
      <x:c r="F58" s="21" t="n">
        <x:v>46607</x:v>
      </x:c>
      <x:c r="G58" s="20" t="str">
        <x:v>Not yet eligible</x:v>
      </x:c>
      <x:c r="H58" s="20" t="str">
        <x:v>Not yet due</x:v>
      </x:c>
      <x:c r="I58" s="20" t="str"/>
    </x:row>
    <x:row r="59">
      <x:c r="A59" s="20" t="str">
        <x:v>PLC-0054</x:v>
      </x:c>
      <x:c r="B59" s="20" t="str">
        <x:v>BW-HH-054</x:v>
      </x:c>
      <x:c r="C59" s="21" t="n">
        <x:v>46489</x:v>
      </x:c>
      <x:c r="D59" s="20" t="str">
        <x:v>Stable housing placement</x:v>
      </x:c>
      <x:c r="E59" s="20" t="str">
        <x:v>LEASE-0054</x:v>
      </x:c>
      <x:c r="F59" s="21" t="n">
        <x:v>46609</x:v>
      </x:c>
      <x:c r="G59" s="20" t="str">
        <x:v>Not yet eligible</x:v>
      </x:c>
      <x:c r="H59" s="20" t="str">
        <x:v>Not yet due</x:v>
      </x:c>
      <x:c r="I59" s="20" t="str"/>
    </x:row>
    <x:row r="60">
      <x:c r="A60" s="20" t="str">
        <x:v>PLC-0055</x:v>
      </x:c>
      <x:c r="B60" s="20" t="str">
        <x:v>BW-HH-055</x:v>
      </x:c>
      <x:c r="C60" s="21" t="n">
        <x:v>46491</x:v>
      </x:c>
      <x:c r="D60" s="20" t="str">
        <x:v>Stable housing placement</x:v>
      </x:c>
      <x:c r="E60" s="20" t="str">
        <x:v>LEASE-0055</x:v>
      </x:c>
      <x:c r="F60" s="21" t="n">
        <x:v>46611</x:v>
      </x:c>
      <x:c r="G60" s="20" t="str">
        <x:v>Not yet eligible</x:v>
      </x:c>
      <x:c r="H60" s="20" t="str">
        <x:v>Not yet due</x:v>
      </x:c>
      <x:c r="I60" s="20" t="str"/>
    </x:row>
    <x:row r="61">
      <x:c r="A61" s="20" t="str">
        <x:v>PLC-0056</x:v>
      </x:c>
      <x:c r="B61" s="20" t="str">
        <x:v>BW-HH-056</x:v>
      </x:c>
      <x:c r="C61" s="21" t="n">
        <x:v>46494</x:v>
      </x:c>
      <x:c r="D61" s="20" t="str">
        <x:v>Stable housing placement</x:v>
      </x:c>
      <x:c r="E61" s="20" t="str">
        <x:v>LEASE-0056</x:v>
      </x:c>
      <x:c r="F61" s="21" t="n">
        <x:v>46614</x:v>
      </x:c>
      <x:c r="G61" s="20" t="str">
        <x:v>Not yet eligible</x:v>
      </x:c>
      <x:c r="H61" s="20" t="str">
        <x:v>Not yet due</x:v>
      </x:c>
      <x:c r="I61" s="20" t="str"/>
    </x:row>
    <x:row r="62">
      <x:c r="A62" s="20" t="str">
        <x:v>PLC-0057</x:v>
      </x:c>
      <x:c r="B62" s="20" t="str">
        <x:v>BW-HH-057</x:v>
      </x:c>
      <x:c r="C62" s="21" t="n">
        <x:v>46496</x:v>
      </x:c>
      <x:c r="D62" s="20" t="str">
        <x:v>Stable housing placement</x:v>
      </x:c>
      <x:c r="E62" s="20" t="str">
        <x:v>LEASE-0057</x:v>
      </x:c>
      <x:c r="F62" s="21" t="n">
        <x:v>46616</x:v>
      </x:c>
      <x:c r="G62" s="20" t="str">
        <x:v>Not yet eligible</x:v>
      </x:c>
      <x:c r="H62" s="20" t="str">
        <x:v>Not yet due</x:v>
      </x:c>
      <x:c r="I62" s="20" t="str"/>
    </x:row>
    <x:row r="63">
      <x:c r="A63" s="20" t="str">
        <x:v>PLC-0058</x:v>
      </x:c>
      <x:c r="B63" s="20" t="str">
        <x:v>BW-HH-058</x:v>
      </x:c>
      <x:c r="C63" s="21" t="n">
        <x:v>46498</x:v>
      </x:c>
      <x:c r="D63" s="20" t="str">
        <x:v>Stable housing placement</x:v>
      </x:c>
      <x:c r="E63" s="20" t="str">
        <x:v>LEASE-0058</x:v>
      </x:c>
      <x:c r="F63" s="21" t="n">
        <x:v>46618</x:v>
      </x:c>
      <x:c r="G63" s="20" t="str">
        <x:v>Not yet eligible</x:v>
      </x:c>
      <x:c r="H63" s="20" t="str">
        <x:v>Not yet due</x:v>
      </x:c>
      <x:c r="I63" s="20" t="str"/>
    </x:row>
    <x:row r="64">
      <x:c r="A64" s="20" t="str">
        <x:v>PLC-0059</x:v>
      </x:c>
      <x:c r="B64" s="20" t="str">
        <x:v>BW-HH-059</x:v>
      </x:c>
      <x:c r="C64" s="21" t="n">
        <x:v>46500</x:v>
      </x:c>
      <x:c r="D64" s="20" t="str">
        <x:v>Stable housing placement</x:v>
      </x:c>
      <x:c r="E64" s="20" t="str">
        <x:v>LEASE-0059</x:v>
      </x:c>
      <x:c r="F64" s="21" t="n">
        <x:v>46620</x:v>
      </x:c>
      <x:c r="G64" s="20" t="str">
        <x:v>Not yet eligible</x:v>
      </x:c>
      <x:c r="H64" s="20" t="str">
        <x:v>Not yet due</x:v>
      </x:c>
      <x:c r="I64" s="20" t="str"/>
    </x:row>
    <x:row r="65">
      <x:c r="A65" s="20" t="str">
        <x:v>PLC-0060</x:v>
      </x:c>
      <x:c r="B65" s="20" t="str">
        <x:v>BW-HH-060</x:v>
      </x:c>
      <x:c r="C65" s="21" t="n">
        <x:v>46502</x:v>
      </x:c>
      <x:c r="D65" s="20" t="str">
        <x:v>Stable housing placement</x:v>
      </x:c>
      <x:c r="E65" s="20" t="str">
        <x:v>LEASE-0060</x:v>
      </x:c>
      <x:c r="F65" s="21" t="n">
        <x:v>46622</x:v>
      </x:c>
      <x:c r="G65" s="20" t="str">
        <x:v>Not yet eligible</x:v>
      </x:c>
      <x:c r="H65" s="20" t="str">
        <x:v>Not yet due</x:v>
      </x:c>
      <x:c r="I65" s="20" t="str"/>
    </x:row>
    <x:row r="66">
      <x:c r="A66" s="20" t="str">
        <x:v>PLC-0061</x:v>
      </x:c>
      <x:c r="B66" s="20" t="str">
        <x:v>BW-HH-061</x:v>
      </x:c>
      <x:c r="C66" s="21" t="n">
        <x:v>46505</x:v>
      </x:c>
      <x:c r="D66" s="20" t="str">
        <x:v>Stable housing placement</x:v>
      </x:c>
      <x:c r="E66" s="20" t="str">
        <x:v>LEASE-0061</x:v>
      </x:c>
      <x:c r="F66" s="21" t="n">
        <x:v>46625</x:v>
      </x:c>
      <x:c r="G66" s="20" t="str">
        <x:v>Not yet eligible</x:v>
      </x:c>
      <x:c r="H66" s="20" t="str">
        <x:v>Not yet due</x:v>
      </x:c>
      <x:c r="I66" s="20" t="str"/>
    </x:row>
    <x:row r="67">
      <x:c r="A67" s="20" t="str">
        <x:v>PLC-0062</x:v>
      </x:c>
      <x:c r="B67" s="20" t="str">
        <x:v>BW-HH-062</x:v>
      </x:c>
      <x:c r="C67" s="21" t="n">
        <x:v>46507</x:v>
      </x:c>
      <x:c r="D67" s="20" t="str">
        <x:v>Stable housing placement</x:v>
      </x:c>
      <x:c r="E67" s="20" t="str">
        <x:v>LEASE-0062</x:v>
      </x:c>
      <x:c r="F67" s="21" t="n">
        <x:v>46627</x:v>
      </x:c>
      <x:c r="G67" s="20" t="str">
        <x:v>Not yet eligible</x:v>
      </x:c>
      <x:c r="H67" s="20" t="str">
        <x:v>Not yet due</x:v>
      </x:c>
      <x:c r="I67" s="20" t="str"/>
    </x:row>
    <x:row r="68">
      <x:c r="A68" s="20" t="str">
        <x:v>PLC-0063</x:v>
      </x:c>
      <x:c r="B68" s="20" t="str">
        <x:v>BW-HH-063</x:v>
      </x:c>
      <x:c r="C68" s="21" t="n">
        <x:v>46509</x:v>
      </x:c>
      <x:c r="D68" s="20" t="str">
        <x:v>Stable housing placement</x:v>
      </x:c>
      <x:c r="E68" s="20" t="str">
        <x:v>LEASE-0063</x:v>
      </x:c>
      <x:c r="F68" s="21" t="n">
        <x:v>46629</x:v>
      </x:c>
      <x:c r="G68" s="20" t="str">
        <x:v>Not yet eligible</x:v>
      </x:c>
      <x:c r="H68" s="20" t="str">
        <x:v>Not yet due</x:v>
      </x:c>
      <x:c r="I68" s="20" t="str"/>
    </x:row>
    <x:row r="69">
      <x:c r="A69" s="20" t="str">
        <x:v>PLC-0064</x:v>
      </x:c>
      <x:c r="B69" s="20" t="str">
        <x:v>BW-HH-064</x:v>
      </x:c>
      <x:c r="C69" s="21" t="n">
        <x:v>46512</x:v>
      </x:c>
      <x:c r="D69" s="20" t="str">
        <x:v>Stable housing placement</x:v>
      </x:c>
      <x:c r="E69" s="20" t="str">
        <x:v>LEASE-0064</x:v>
      </x:c>
      <x:c r="F69" s="21" t="n">
        <x:v>46632</x:v>
      </x:c>
      <x:c r="G69" s="20" t="str">
        <x:v>Not yet eligible</x:v>
      </x:c>
      <x:c r="H69" s="20" t="str">
        <x:v>Not yet due</x:v>
      </x:c>
      <x:c r="I69" s="20" t="str"/>
    </x:row>
    <x:row r="70">
      <x:c r="A70" s="20" t="str">
        <x:v>PLC-0065</x:v>
      </x:c>
      <x:c r="B70" s="20" t="str">
        <x:v>BW-HH-065</x:v>
      </x:c>
      <x:c r="C70" s="21" t="n">
        <x:v>46514</x:v>
      </x:c>
      <x:c r="D70" s="20" t="str">
        <x:v>Stable housing placement</x:v>
      </x:c>
      <x:c r="E70" s="20" t="str">
        <x:v>LEASE-0065</x:v>
      </x:c>
      <x:c r="F70" s="21" t="n">
        <x:v>46634</x:v>
      </x:c>
      <x:c r="G70" s="20" t="str">
        <x:v>Not yet eligible</x:v>
      </x:c>
      <x:c r="H70" s="20" t="str">
        <x:v>Not yet due</x:v>
      </x:c>
      <x:c r="I70" s="20" t="str"/>
    </x:row>
    <x:row r="71">
      <x:c r="A71" s="20" t="str">
        <x:v>PLC-0066</x:v>
      </x:c>
      <x:c r="B71" s="20" t="str">
        <x:v>BW-HH-066</x:v>
      </x:c>
      <x:c r="C71" s="21" t="n">
        <x:v>46516</x:v>
      </x:c>
      <x:c r="D71" s="20" t="str">
        <x:v>Stable housing placement</x:v>
      </x:c>
      <x:c r="E71" s="20" t="str">
        <x:v>LEASE-0066</x:v>
      </x:c>
      <x:c r="F71" s="21" t="n">
        <x:v>46636</x:v>
      </x:c>
      <x:c r="G71" s="20" t="str">
        <x:v>Not yet eligible</x:v>
      </x:c>
      <x:c r="H71" s="20" t="str">
        <x:v>Not yet due</x:v>
      </x:c>
      <x:c r="I71" s="20" t="str"/>
    </x:row>
    <x:row r="72">
      <x:c r="A72" s="20" t="str">
        <x:v>PLC-0067</x:v>
      </x:c>
      <x:c r="B72" s="20" t="str">
        <x:v>BW-HH-067</x:v>
      </x:c>
      <x:c r="C72" s="21" t="n">
        <x:v>46518</x:v>
      </x:c>
      <x:c r="D72" s="20" t="str">
        <x:v>Stable housing placement</x:v>
      </x:c>
      <x:c r="E72" s="20" t="str">
        <x:v>LEASE-0067</x:v>
      </x:c>
      <x:c r="F72" s="21" t="n">
        <x:v>46638</x:v>
      </x:c>
      <x:c r="G72" s="20" t="str">
        <x:v>Not yet eligible</x:v>
      </x:c>
      <x:c r="H72" s="20" t="str">
        <x:v>Not yet due</x:v>
      </x:c>
      <x:c r="I72" s="20" t="str"/>
    </x:row>
    <x:row r="73">
      <x:c r="A73" s="20" t="str">
        <x:v>PLC-0068</x:v>
      </x:c>
      <x:c r="B73" s="20" t="str">
        <x:v>BW-HH-068</x:v>
      </x:c>
      <x:c r="C73" s="21" t="n">
        <x:v>46520</x:v>
      </x:c>
      <x:c r="D73" s="20" t="str">
        <x:v>Stable housing placement</x:v>
      </x:c>
      <x:c r="E73" s="20" t="str">
        <x:v>LEASE-0068</x:v>
      </x:c>
      <x:c r="F73" s="21" t="n">
        <x:v>46640</x:v>
      </x:c>
      <x:c r="G73" s="20" t="str">
        <x:v>Not yet eligible</x:v>
      </x:c>
      <x:c r="H73" s="20" t="str">
        <x:v>Not yet due</x:v>
      </x:c>
      <x:c r="I73" s="20" t="str"/>
    </x:row>
    <x:row r="74">
      <x:c r="A74" s="20" t="str">
        <x:v>PLC-0069</x:v>
      </x:c>
      <x:c r="B74" s="20" t="str">
        <x:v>BW-HH-069</x:v>
      </x:c>
      <x:c r="C74" s="21" t="n">
        <x:v>46523</x:v>
      </x:c>
      <x:c r="D74" s="20" t="str">
        <x:v>Stable housing placement</x:v>
      </x:c>
      <x:c r="E74" s="20" t="str">
        <x:v>LEASE-0069</x:v>
      </x:c>
      <x:c r="F74" s="21" t="n">
        <x:v>46643</x:v>
      </x:c>
      <x:c r="G74" s="20" t="str">
        <x:v>Not yet eligible</x:v>
      </x:c>
      <x:c r="H74" s="20" t="str">
        <x:v>Not yet due</x:v>
      </x:c>
      <x:c r="I74" s="20" t="str"/>
    </x:row>
    <x:row r="75">
      <x:c r="A75" s="20" t="str">
        <x:v>PLC-0070</x:v>
      </x:c>
      <x:c r="B75" s="20" t="str">
        <x:v>BW-HH-070</x:v>
      </x:c>
      <x:c r="C75" s="21" t="n">
        <x:v>46525</x:v>
      </x:c>
      <x:c r="D75" s="20" t="str">
        <x:v>Stable housing placement</x:v>
      </x:c>
      <x:c r="E75" s="20" t="str">
        <x:v>LEASE-0070</x:v>
      </x:c>
      <x:c r="F75" s="21" t="n">
        <x:v>46645</x:v>
      </x:c>
      <x:c r="G75" s="20" t="str">
        <x:v>Not yet eligible</x:v>
      </x:c>
      <x:c r="H75" s="20" t="str">
        <x:v>Not yet due</x:v>
      </x:c>
      <x:c r="I75" s="20" t="str"/>
    </x:row>
    <x:row r="76">
      <x:c r="A76" s="20" t="str">
        <x:v>PLC-0071</x:v>
      </x:c>
      <x:c r="B76" s="20" t="str">
        <x:v>BW-HH-071</x:v>
      </x:c>
      <x:c r="C76" s="21" t="n">
        <x:v>46527</x:v>
      </x:c>
      <x:c r="D76" s="20" t="str">
        <x:v>Stable housing placement</x:v>
      </x:c>
      <x:c r="E76" s="20" t="str">
        <x:v>LEASE-0071</x:v>
      </x:c>
      <x:c r="F76" s="21" t="n">
        <x:v>46647</x:v>
      </x:c>
      <x:c r="G76" s="20" t="str">
        <x:v>Not yet eligible</x:v>
      </x:c>
      <x:c r="H76" s="20" t="str">
        <x:v>Not yet due</x:v>
      </x:c>
      <x:c r="I76" s="20" t="str"/>
    </x:row>
    <x:row r="77">
      <x:c r="A77" s="20" t="str">
        <x:v>PLC-0072</x:v>
      </x:c>
      <x:c r="B77" s="20" t="str">
        <x:v>BW-HH-072</x:v>
      </x:c>
      <x:c r="C77" s="21" t="n">
        <x:v>46530</x:v>
      </x:c>
      <x:c r="D77" s="20" t="str">
        <x:v>Stable housing placement</x:v>
      </x:c>
      <x:c r="E77" s="20" t="str">
        <x:v>LEASE-0072</x:v>
      </x:c>
      <x:c r="F77" s="21" t="n">
        <x:v>46650</x:v>
      </x:c>
      <x:c r="G77" s="20" t="str">
        <x:v>Not yet eligible</x:v>
      </x:c>
      <x:c r="H77" s="20" t="str">
        <x:v>Not yet due</x:v>
      </x:c>
      <x:c r="I77" s="20" t="str"/>
    </x:row>
    <x:row r="78">
      <x:c r="A78" s="20" t="str">
        <x:v>PLC-0073</x:v>
      </x:c>
      <x:c r="B78" s="20" t="str">
        <x:v>BW-HH-073</x:v>
      </x:c>
      <x:c r="C78" s="21" t="n">
        <x:v>46532</x:v>
      </x:c>
      <x:c r="D78" s="20" t="str">
        <x:v>Stable housing placement</x:v>
      </x:c>
      <x:c r="E78" s="20" t="str">
        <x:v>LEASE-0073</x:v>
      </x:c>
      <x:c r="F78" s="21" t="n">
        <x:v>46652</x:v>
      </x:c>
      <x:c r="G78" s="20" t="str">
        <x:v>Not yet eligible</x:v>
      </x:c>
      <x:c r="H78" s="20" t="str">
        <x:v>Not yet due</x:v>
      </x:c>
      <x:c r="I78" s="20" t="str"/>
    </x:row>
    <x:row r="79">
      <x:c r="A79" s="20" t="str">
        <x:v>PLC-0074</x:v>
      </x:c>
      <x:c r="B79" s="20" t="str">
        <x:v>BW-HH-074</x:v>
      </x:c>
      <x:c r="C79" s="21" t="n">
        <x:v>46534</x:v>
      </x:c>
      <x:c r="D79" s="20" t="str">
        <x:v>Stable housing placement</x:v>
      </x:c>
      <x:c r="E79" s="20" t="str">
        <x:v>LEASE-0074</x:v>
      </x:c>
      <x:c r="F79" s="21" t="n">
        <x:v>46654</x:v>
      </x:c>
      <x:c r="G79" s="20" t="str">
        <x:v>Not yet eligible</x:v>
      </x:c>
      <x:c r="H79" s="20" t="str">
        <x:v>Not yet due</x:v>
      </x:c>
      <x:c r="I79" s="20" t="str"/>
    </x:row>
    <x:row r="80">
      <x:c r="A80" s="20" t="str">
        <x:v>PLC-0075</x:v>
      </x:c>
      <x:c r="B80" s="20" t="str">
        <x:v>BW-HH-075</x:v>
      </x:c>
      <x:c r="C80" s="21" t="n">
        <x:v>46536</x:v>
      </x:c>
      <x:c r="D80" s="20" t="str">
        <x:v>Stable housing placement</x:v>
      </x:c>
      <x:c r="E80" s="20" t="str">
        <x:v>LEASE-0075</x:v>
      </x:c>
      <x:c r="F80" s="21" t="n">
        <x:v>46656</x:v>
      </x:c>
      <x:c r="G80" s="20" t="str">
        <x:v>Not yet eligible</x:v>
      </x:c>
      <x:c r="H80" s="20" t="str">
        <x:v>Not yet due</x:v>
      </x:c>
      <x:c r="I80" s="20" t="str"/>
    </x:row>
    <x:row r="81">
      <x:c r="A81" s="20" t="str">
        <x:v>PLC-0076</x:v>
      </x:c>
      <x:c r="B81" s="20" t="str">
        <x:v>BW-HH-076</x:v>
      </x:c>
      <x:c r="C81" s="21" t="n">
        <x:v>46538</x:v>
      </x:c>
      <x:c r="D81" s="20" t="str">
        <x:v>Stable housing placement</x:v>
      </x:c>
      <x:c r="E81" s="20" t="str">
        <x:v>LEASE-0076</x:v>
      </x:c>
      <x:c r="F81" s="21" t="n">
        <x:v>46658</x:v>
      </x:c>
      <x:c r="G81" s="20" t="str">
        <x:v>Not yet eligible</x:v>
      </x:c>
      <x:c r="H81" s="20" t="str">
        <x:v>Not yet due</x:v>
      </x:c>
      <x:c r="I81" s="20" t="str"/>
    </x:row>
    <x:row r="82">
      <x:c r="A82" s="20" t="str">
        <x:v>PLC-0077</x:v>
      </x:c>
      <x:c r="B82" s="20" t="str">
        <x:v>BW-HH-077</x:v>
      </x:c>
      <x:c r="C82" s="21" t="n">
        <x:v>46541</x:v>
      </x:c>
      <x:c r="D82" s="20" t="str">
        <x:v>Stable housing placement</x:v>
      </x:c>
      <x:c r="E82" s="20" t="str">
        <x:v>LEASE-0077</x:v>
      </x:c>
      <x:c r="F82" s="21" t="n">
        <x:v>46661</x:v>
      </x:c>
      <x:c r="G82" s="20" t="str">
        <x:v>Not yet eligible</x:v>
      </x:c>
      <x:c r="H82" s="20" t="str">
        <x:v>Not yet due</x:v>
      </x:c>
      <x:c r="I82" s="20" t="str"/>
    </x:row>
    <x:row r="83">
      <x:c r="A83" s="20" t="str">
        <x:v>PLC-0078</x:v>
      </x:c>
      <x:c r="B83" s="20" t="str">
        <x:v>BW-HH-078</x:v>
      </x:c>
      <x:c r="C83" s="21" t="n">
        <x:v>46543</x:v>
      </x:c>
      <x:c r="D83" s="20" t="str">
        <x:v>Stable housing placement</x:v>
      </x:c>
      <x:c r="E83" s="20" t="str">
        <x:v>LEASE-0078</x:v>
      </x:c>
      <x:c r="F83" s="21" t="n">
        <x:v>46663</x:v>
      </x:c>
      <x:c r="G83" s="20" t="str">
        <x:v>Not yet eligible</x:v>
      </x:c>
      <x:c r="H83" s="20" t="str">
        <x:v>Not yet due</x:v>
      </x:c>
      <x:c r="I83" s="20" t="str"/>
    </x:row>
    <x:row r="84">
      <x:c r="A84" s="20" t="str">
        <x:v>PLC-0079</x:v>
      </x:c>
      <x:c r="B84" s="20" t="str">
        <x:v>BW-HH-079</x:v>
      </x:c>
      <x:c r="C84" s="21" t="n">
        <x:v>46545</x:v>
      </x:c>
      <x:c r="D84" s="20" t="str">
        <x:v>Stable housing placement</x:v>
      </x:c>
      <x:c r="E84" s="20" t="str">
        <x:v>LEASE-0079</x:v>
      </x:c>
      <x:c r="F84" s="21" t="n">
        <x:v>46665</x:v>
      </x:c>
      <x:c r="G84" s="20" t="str">
        <x:v>Not yet eligible</x:v>
      </x:c>
      <x:c r="H84" s="20" t="str">
        <x:v>Not yet due</x:v>
      </x:c>
      <x:c r="I84" s="20" t="str"/>
    </x:row>
    <x:row r="85">
      <x:c r="A85" s="20" t="str">
        <x:v>PLC-0080</x:v>
      </x:c>
      <x:c r="B85" s="20" t="str">
        <x:v>BW-HH-080</x:v>
      </x:c>
      <x:c r="C85" s="21" t="n">
        <x:v>46548</x:v>
      </x:c>
      <x:c r="D85" s="20" t="str">
        <x:v>Stable housing placement</x:v>
      </x:c>
      <x:c r="E85" s="20" t="str">
        <x:v>LEASE-0080</x:v>
      </x:c>
      <x:c r="F85" s="21" t="n">
        <x:v>46668</x:v>
      </x:c>
      <x:c r="G85" s="20" t="str">
        <x:v>Not yet eligible</x:v>
      </x:c>
      <x:c r="H85" s="20" t="str">
        <x:v>Not yet due</x:v>
      </x:c>
      <x:c r="I85" s="20" t="str"/>
    </x:row>
    <x:row r="86">
      <x:c r="A86" s="20" t="str">
        <x:v>PLC-0081</x:v>
      </x:c>
      <x:c r="B86" s="20" t="str">
        <x:v>BW-HH-081</x:v>
      </x:c>
      <x:c r="C86" s="21" t="n">
        <x:v>46550</x:v>
      </x:c>
      <x:c r="D86" s="20" t="str">
        <x:v>Stable housing placement</x:v>
      </x:c>
      <x:c r="E86" s="20" t="str">
        <x:v>LEASE-0081</x:v>
      </x:c>
      <x:c r="F86" s="21" t="n">
        <x:v>46670</x:v>
      </x:c>
      <x:c r="G86" s="20" t="str">
        <x:v>Not yet eligible</x:v>
      </x:c>
      <x:c r="H86" s="20" t="str">
        <x:v>Not yet due</x:v>
      </x:c>
      <x:c r="I86" s="20" t="str"/>
    </x:row>
    <x:row r="87">
      <x:c r="A87" s="20" t="str">
        <x:v>PLC-0082</x:v>
      </x:c>
      <x:c r="B87" s="20" t="str">
        <x:v>BW-HH-082</x:v>
      </x:c>
      <x:c r="C87" s="21" t="n">
        <x:v>46552</x:v>
      </x:c>
      <x:c r="D87" s="20" t="str">
        <x:v>Stable housing placement</x:v>
      </x:c>
      <x:c r="E87" s="20" t="str">
        <x:v>LEASE-0082</x:v>
      </x:c>
      <x:c r="F87" s="21" t="n">
        <x:v>46672</x:v>
      </x:c>
      <x:c r="G87" s="20" t="str">
        <x:v>Not yet eligible</x:v>
      </x:c>
      <x:c r="H87" s="20" t="str">
        <x:v>Not yet due</x:v>
      </x:c>
      <x:c r="I87" s="20" t="str"/>
    </x:row>
    <x:row r="88">
      <x:c r="A88" s="20" t="str">
        <x:v>PLC-0083</x:v>
      </x:c>
      <x:c r="B88" s="20" t="str">
        <x:v>BW-HH-083</x:v>
      </x:c>
      <x:c r="C88" s="21" t="n">
        <x:v>46554</x:v>
      </x:c>
      <x:c r="D88" s="20" t="str">
        <x:v>Stable housing placement</x:v>
      </x:c>
      <x:c r="E88" s="20" t="str">
        <x:v>LEASE-0083</x:v>
      </x:c>
      <x:c r="F88" s="21" t="n">
        <x:v>46674</x:v>
      </x:c>
      <x:c r="G88" s="20" t="str">
        <x:v>Not yet eligible</x:v>
      </x:c>
      <x:c r="H88" s="20" t="str">
        <x:v>Not yet due</x:v>
      </x:c>
      <x:c r="I88" s="20" t="str"/>
    </x:row>
    <x:row r="89">
      <x:c r="A89" s="20" t="str">
        <x:v>PLC-0084</x:v>
      </x:c>
      <x:c r="B89" s="20" t="str">
        <x:v>BW-HH-084</x:v>
      </x:c>
      <x:c r="C89" s="21" t="n">
        <x:v>46556</x:v>
      </x:c>
      <x:c r="D89" s="20" t="str">
        <x:v>Stable housing placement</x:v>
      </x:c>
      <x:c r="E89" s="20" t="str">
        <x:v>LEASE-0084</x:v>
      </x:c>
      <x:c r="F89" s="21" t="n">
        <x:v>46676</x:v>
      </x:c>
      <x:c r="G89" s="20" t="str">
        <x:v>Not yet eligible</x:v>
      </x:c>
      <x:c r="H89" s="20" t="str">
        <x:v>Not yet due</x:v>
      </x:c>
      <x:c r="I89" s="20" t="str"/>
    </x:row>
    <x:row r="90">
      <x:c r="A90" s="20" t="str">
        <x:v>PLC-0085</x:v>
      </x:c>
      <x:c r="B90" s="20" t="str">
        <x:v>BW-HH-085</x:v>
      </x:c>
      <x:c r="C90" s="21" t="n">
        <x:v>46559</x:v>
      </x:c>
      <x:c r="D90" s="20" t="str">
        <x:v>Stable housing placement</x:v>
      </x:c>
      <x:c r="E90" s="20" t="str">
        <x:v>LEASE-0085</x:v>
      </x:c>
      <x:c r="F90" s="21" t="n">
        <x:v>46679</x:v>
      </x:c>
      <x:c r="G90" s="20" t="str">
        <x:v>Not yet eligible</x:v>
      </x:c>
      <x:c r="H90" s="20" t="str">
        <x:v>Not yet due</x:v>
      </x:c>
      <x:c r="I90" s="20" t="str"/>
    </x:row>
    <x:row r="91">
      <x:c r="A91" s="20" t="str">
        <x:v>PLC-0086</x:v>
      </x:c>
      <x:c r="B91" s="20" t="str">
        <x:v>BW-HH-086</x:v>
      </x:c>
      <x:c r="C91" s="21" t="n">
        <x:v>46561</x:v>
      </x:c>
      <x:c r="D91" s="20" t="str">
        <x:v>Stable housing placement</x:v>
      </x:c>
      <x:c r="E91" s="20" t="str">
        <x:v>LEASE-0086</x:v>
      </x:c>
      <x:c r="F91" s="21" t="n">
        <x:v>46681</x:v>
      </x:c>
      <x:c r="G91" s="20" t="str">
        <x:v>Not yet eligible</x:v>
      </x:c>
      <x:c r="H91" s="20" t="str">
        <x:v>Not yet due</x:v>
      </x:c>
      <x:c r="I91" s="20" t="str"/>
    </x:row>
    <x:row r="92">
      <x:c r="A92" s="20" t="str">
        <x:v>PLC-0087</x:v>
      </x:c>
      <x:c r="B92" s="20" t="str">
        <x:v>BW-HH-087</x:v>
      </x:c>
      <x:c r="C92" s="21" t="n">
        <x:v>46563</x:v>
      </x:c>
      <x:c r="D92" s="20" t="str">
        <x:v>Stable housing placement</x:v>
      </x:c>
      <x:c r="E92" s="20" t="str">
        <x:v>LEASE-0087</x:v>
      </x:c>
      <x:c r="F92" s="21" t="n">
        <x:v>46683</x:v>
      </x:c>
      <x:c r="G92" s="20" t="str">
        <x:v>Not yet eligible</x:v>
      </x:c>
      <x:c r="H92" s="20" t="str">
        <x:v>Not yet due</x:v>
      </x:c>
      <x:c r="I92" s="20" t="str"/>
    </x:row>
    <x:row r="93">
      <x:c r="A93" s="20" t="str">
        <x:v>PLC-0088</x:v>
      </x:c>
      <x:c r="B93" s="20" t="str">
        <x:v>BW-HH-088</x:v>
      </x:c>
      <x:c r="C93" s="21" t="n">
        <x:v>46566</x:v>
      </x:c>
      <x:c r="D93" s="20" t="str">
        <x:v>Stable housing placement</x:v>
      </x:c>
      <x:c r="E93" s="20" t="str">
        <x:v>LEASE-0088</x:v>
      </x:c>
      <x:c r="F93" s="21" t="n">
        <x:v>46686</x:v>
      </x:c>
      <x:c r="G93" s="20" t="str">
        <x:v>Not yet eligible</x:v>
      </x:c>
      <x:c r="H93" s="20" t="str">
        <x:v>Not yet due</x:v>
      </x:c>
      <x:c r="I93" s="20" t="str"/>
    </x:row>
    <x:row r="94">
      <x:c r="A94" s="20" t="str">
        <x:v>PLC-0089</x:v>
      </x:c>
      <x:c r="B94" s="20" t="str">
        <x:v>BW-HH-089</x:v>
      </x:c>
      <x:c r="C94" s="21" t="n">
        <x:v>46568</x:v>
      </x:c>
      <x:c r="D94" s="20" t="str">
        <x:v>Stable housing placement</x:v>
      </x:c>
      <x:c r="E94" s="20" t="str">
        <x:v>LEASE-0089</x:v>
      </x:c>
      <x:c r="F94" s="21" t="n">
        <x:v>46688</x:v>
      </x:c>
      <x:c r="G94" s="20" t="str">
        <x:v>Not yet eligible</x:v>
      </x:c>
      <x:c r="H94" s="20" t="str">
        <x:v>Not yet due</x:v>
      </x:c>
      <x:c r="I94" s="20" t="str"/>
    </x:row>
    <x:row r="95">
      <x:c r="A95" s="20" t="str">
        <x:v>PLC-0090</x:v>
      </x:c>
      <x:c r="B95" s="20" t="str">
        <x:v>BW-HH-090</x:v>
      </x:c>
      <x:c r="C95" s="21" t="n">
        <x:v>46570</x:v>
      </x:c>
      <x:c r="D95" s="20" t="str">
        <x:v>Stable housing placement</x:v>
      </x:c>
      <x:c r="E95" s="20" t="str">
        <x:v>LEASE-0090</x:v>
      </x:c>
      <x:c r="F95" s="21" t="n">
        <x:v>46690</x:v>
      </x:c>
      <x:c r="G95" s="20" t="str">
        <x:v>Not yet eligible</x:v>
      </x:c>
      <x:c r="H95" s="20" t="str">
        <x:v>Not yet due</x:v>
      </x:c>
      <x:c r="I95" s="20" t="str"/>
    </x:row>
    <x:row r="96">
      <x:c r="A96" s="20" t="str">
        <x:v>PLC-0091</x:v>
      </x:c>
      <x:c r="B96" s="20" t="str">
        <x:v>BW-HH-091</x:v>
      </x:c>
      <x:c r="C96" s="21" t="n">
        <x:v>46572</x:v>
      </x:c>
      <x:c r="D96" s="20" t="str">
        <x:v>Stable housing placement</x:v>
      </x:c>
      <x:c r="E96" s="20" t="str">
        <x:v>LEASE-0091</x:v>
      </x:c>
      <x:c r="F96" s="21" t="n">
        <x:v>46692</x:v>
      </x:c>
      <x:c r="G96" s="20" t="str">
        <x:v>Not yet eligible</x:v>
      </x:c>
      <x:c r="H96" s="20" t="str">
        <x:v>Not yet due</x:v>
      </x:c>
      <x:c r="I96" s="20" t="str"/>
    </x:row>
    <x:row r="97">
      <x:c r="A97" s="20" t="str">
        <x:v>PLC-0092</x:v>
      </x:c>
      <x:c r="B97" s="20" t="str">
        <x:v>BW-HH-092</x:v>
      </x:c>
      <x:c r="C97" s="21" t="n">
        <x:v>46574</x:v>
      </x:c>
      <x:c r="D97" s="20" t="str">
        <x:v>Stable housing placement</x:v>
      </x:c>
      <x:c r="E97" s="20" t="str">
        <x:v>LEASE-0092</x:v>
      </x:c>
      <x:c r="F97" s="21" t="n">
        <x:v>46694</x:v>
      </x:c>
      <x:c r="G97" s="20" t="str">
        <x:v>Not yet eligible</x:v>
      </x:c>
      <x:c r="H97" s="20" t="str">
        <x:v>Not yet due</x:v>
      </x:c>
      <x:c r="I97" s="20" t="str"/>
    </x:row>
    <x:row r="98">
      <x:c r="A98" s="20" t="str">
        <x:v>PLC-0093</x:v>
      </x:c>
      <x:c r="B98" s="20" t="str">
        <x:v>BW-HH-093</x:v>
      </x:c>
      <x:c r="C98" s="21" t="n">
        <x:v>46577</x:v>
      </x:c>
      <x:c r="D98" s="20" t="str">
        <x:v>Stable housing placement</x:v>
      </x:c>
      <x:c r="E98" s="20" t="str">
        <x:v>LEASE-0093</x:v>
      </x:c>
      <x:c r="F98" s="21" t="n">
        <x:v>46697</x:v>
      </x:c>
      <x:c r="G98" s="20" t="str">
        <x:v>Not yet eligible</x:v>
      </x:c>
      <x:c r="H98" s="20" t="str">
        <x:v>Not yet due</x:v>
      </x:c>
      <x:c r="I98" s="20" t="str"/>
    </x:row>
    <x:row r="99">
      <x:c r="A99" s="20" t="str">
        <x:v>PLC-0094</x:v>
      </x:c>
      <x:c r="B99" s="20" t="str">
        <x:v>BW-HH-094</x:v>
      </x:c>
      <x:c r="C99" s="21" t="n">
        <x:v>46579</x:v>
      </x:c>
      <x:c r="D99" s="20" t="str">
        <x:v>Stable housing placement</x:v>
      </x:c>
      <x:c r="E99" s="20" t="str">
        <x:v>LEASE-0094</x:v>
      </x:c>
      <x:c r="F99" s="21" t="n">
        <x:v>46699</x:v>
      </x:c>
      <x:c r="G99" s="20" t="str">
        <x:v>Not yet eligible</x:v>
      </x:c>
      <x:c r="H99" s="20" t="str">
        <x:v>Not yet due</x:v>
      </x:c>
      <x:c r="I99" s="20" t="str"/>
    </x:row>
    <x:row r="100">
      <x:c r="A100" s="20" t="str">
        <x:v>PLC-0095</x:v>
      </x:c>
      <x:c r="B100" s="20" t="str">
        <x:v>BW-HH-095</x:v>
      </x:c>
      <x:c r="C100" s="21" t="n">
        <x:v>46581</x:v>
      </x:c>
      <x:c r="D100" s="20" t="str">
        <x:v>Stable housing placement</x:v>
      </x:c>
      <x:c r="E100" s="20" t="str">
        <x:v>LEASE-0095</x:v>
      </x:c>
      <x:c r="F100" s="21" t="n">
        <x:v>46701</x:v>
      </x:c>
      <x:c r="G100" s="20" t="str">
        <x:v>Not yet eligible</x:v>
      </x:c>
      <x:c r="H100" s="20" t="str">
        <x:v>Not yet due</x:v>
      </x:c>
      <x:c r="I100" s="20" t="str"/>
    </x:row>
    <x:row r="101">
      <x:c r="A101" s="20" t="str">
        <x:v>PLC-0096</x:v>
      </x:c>
      <x:c r="B101" s="20" t="str">
        <x:v>BW-HH-096</x:v>
      </x:c>
      <x:c r="C101" s="21" t="n">
        <x:v>46584</x:v>
      </x:c>
      <x:c r="D101" s="20" t="str">
        <x:v>Stable housing placement</x:v>
      </x:c>
      <x:c r="E101" s="20" t="str">
        <x:v>LEASE-0096</x:v>
      </x:c>
      <x:c r="F101" s="21" t="n">
        <x:v>46704</x:v>
      </x:c>
      <x:c r="G101" s="20" t="str">
        <x:v>Not yet eligible</x:v>
      </x:c>
      <x:c r="H101" s="20" t="str">
        <x:v>Not yet due</x:v>
      </x:c>
      <x:c r="I101" s="20" t="str"/>
    </x:row>
    <x:row r="102">
      <x:c r="A102" s="20" t="str">
        <x:v>PLC-0097</x:v>
      </x:c>
      <x:c r="B102" s="20" t="str">
        <x:v>BW-HH-097</x:v>
      </x:c>
      <x:c r="C102" s="21" t="n">
        <x:v>46586</x:v>
      </x:c>
      <x:c r="D102" s="20" t="str">
        <x:v>Stable housing placement</x:v>
      </x:c>
      <x:c r="E102" s="20" t="str">
        <x:v>LEASE-0097</x:v>
      </x:c>
      <x:c r="F102" s="21" t="n">
        <x:v>46706</x:v>
      </x:c>
      <x:c r="G102" s="20" t="str">
        <x:v>Not yet eligible</x:v>
      </x:c>
      <x:c r="H102" s="20" t="str">
        <x:v>Not yet due</x:v>
      </x:c>
      <x:c r="I102" s="20" t="str"/>
    </x:row>
    <x:row r="103">
      <x:c r="A103" s="20" t="str">
        <x:v>PLC-0098</x:v>
      </x:c>
      <x:c r="B103" s="20" t="str">
        <x:v>BW-HH-098</x:v>
      </x:c>
      <x:c r="C103" s="21" t="n">
        <x:v>46588</x:v>
      </x:c>
      <x:c r="D103" s="20" t="str">
        <x:v>Stable housing placement</x:v>
      </x:c>
      <x:c r="E103" s="20" t="str">
        <x:v>LEASE-0098</x:v>
      </x:c>
      <x:c r="F103" s="21" t="n">
        <x:v>46708</x:v>
      </x:c>
      <x:c r="G103" s="20" t="str">
        <x:v>Not yet eligible</x:v>
      </x:c>
      <x:c r="H103" s="20" t="str">
        <x:v>Not yet due</x:v>
      </x:c>
      <x:c r="I103" s="20" t="str"/>
    </x:row>
  </x:sheetData>
  <x:mergeCells>
    <x:mergeCell ref="A1:I1"/>
  </x:mergeCells>
  <x:pageMargins left="0.7" right="0.7" top="0.75" bottom="0.75" header="0.3" footer="0.3"/>
</x:worksheet>
</file>