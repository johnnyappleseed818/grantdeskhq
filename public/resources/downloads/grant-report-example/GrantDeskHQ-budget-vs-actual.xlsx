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puts"/>
    <sheet r:id="rId2" sheetId="2" name="Ledger"/>
    <sheet r:id="rId3" sheetId="3" name="Budget vs Actual"/>
  </sheets>
  <definedNames/>
  <calcPr/>
</workbook>
</file>

<file path=xl/sharedStrings.xml><?xml version="1.0" encoding="utf-8"?>
<sst xmlns="http://schemas.openxmlformats.org/spreadsheetml/2006/main">
  <si>
    <t>SYNTHETIC — fictional teaching example only; not a customer result, live product run, grant term, or submission-ready report.</t>
  </si>
  <si>
    <t>Input</t>
  </si>
  <si>
    <t>Value</t>
  </si>
  <si>
    <t>Synthetic marker</t>
  </si>
  <si>
    <t>Grant code</t>
  </si>
  <si>
    <t>SYN-2026-001</t>
  </si>
  <si>
    <t>SYNTHETIC</t>
  </si>
  <si>
    <t>Period start</t>
  </si>
  <si>
    <t>Period end</t>
  </si>
  <si>
    <t>Variance explanation threshold</t>
  </si>
  <si>
    <t>Overspend approval threshold</t>
  </si>
  <si>
    <t>Account code</t>
  </si>
  <si>
    <t>Budget category</t>
  </si>
  <si>
    <t>Period budget USD</t>
  </si>
  <si>
    <t>6100</t>
  </si>
  <si>
    <t>Personnel</t>
  </si>
  <si>
    <t>6200</t>
  </si>
  <si>
    <t>Participant support</t>
  </si>
  <si>
    <t>6300</t>
  </si>
  <si>
    <t>Travel</t>
  </si>
  <si>
    <t>6400</t>
  </si>
  <si>
    <t>Supplies</t>
  </si>
  <si>
    <t>Transaction ID</t>
  </si>
  <si>
    <t>Date</t>
  </si>
  <si>
    <t>Amount USD</t>
  </si>
  <si>
    <t>Included?</t>
  </si>
  <si>
    <t>Exclusion reason</t>
  </si>
  <si>
    <t>SYN-T001</t>
  </si>
  <si>
    <t>SYN-T002</t>
  </si>
  <si>
    <t>SYN-T003</t>
  </si>
  <si>
    <t>SYN-T004</t>
  </si>
  <si>
    <t>SYN-T005</t>
  </si>
  <si>
    <t>SYN-T006</t>
  </si>
  <si>
    <t>SYN-T007</t>
  </si>
  <si>
    <t>SYN-T008</t>
  </si>
  <si>
    <t>SYN-T009</t>
  </si>
  <si>
    <t>SYN-T010</t>
  </si>
  <si>
    <t>SYN-T011</t>
  </si>
  <si>
    <t>SYN-T012</t>
  </si>
  <si>
    <t>SYN-T013</t>
  </si>
  <si>
    <t>SYN-T014</t>
  </si>
  <si>
    <t>SYN-T015</t>
  </si>
  <si>
    <t>SYN-2026-002</t>
  </si>
  <si>
    <t>Budget USD</t>
  </si>
  <si>
    <t>Actual USD</t>
  </si>
  <si>
    <t>Actual minus budget</t>
  </si>
  <si>
    <t>Percentage</t>
  </si>
  <si>
    <t>Variance explanation</t>
  </si>
  <si>
    <t>Approval required</t>
  </si>
  <si>
    <t>Total</t>
  </si>
</sst>
</file>

<file path=xl/styles.xml><?xml version="1.0" encoding="utf-8"?>
<styleSheet xmlns="http://schemas.openxmlformats.org/spreadsheetml/2006/main">
  <numFmts count="3">
    <numFmt numFmtId="100" formatCode="yyyy-mm-dd"/>
    <numFmt numFmtId="101" formatCode="0%;[Red]-0%"/>
    <numFmt numFmtId="102" formatCode="[$$-409]#,##0;[Red]-[$$-409]#,##0"/>
  </numFmts>
  <fonts count="2">
    <font>
      <family val="2"/>
      <scheme val="minor"/>
      <color theme="1"/>
    </font>
    <font>
      <family val="2"/>
      <scheme val="minor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DDEBE2"/>
        <bgColor indexed="64"/>
      </patternFill>
    </fill>
    <fill>
      <patternFill patternType="solid">
        <fgColor rgb="FF10233F"/>
        <bgColor indexed="64"/>
      </patternFill>
    </fill>
  </fills>
  <borders count="1">
    <border>
      <left/>
      <right/>
      <top/>
      <bottom/>
      <diagonal/>
    </border>
  </borders>
  <cellXfs count="6">
    <xf/>
    <xf fontId="1" applyFont="1" fillId="2" applyFill="1"/>
    <xf fontId="1" applyFont="1" fillId="3" applyFill="1"/>
    <xf numFmtId="100" applyNumberFormat="1"/>
    <xf numFmtId="101" applyNumberFormat="1"/>
    <xf numFmtId="102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2" xSplit="0" topLeftCell="A3" activePane="bottomRight" state="frozen"/>
    </sheetView>
  </sheetViews>
  <cols>
    <col min="1" max="1" width="36" customWidth="1"/>
    <col min="2" max="2" width="26" customWidth="1"/>
    <col min="3" max="3" width="1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 s="3">
        <v>46204</v>
      </c>
      <c r="C4" t="s">
        <v>6</v>
      </c>
    </row>
    <row r="5">
      <c r="A5" t="s">
        <v>8</v>
      </c>
      <c r="B5" s="3">
        <v>46295</v>
      </c>
      <c r="C5" t="s">
        <v>6</v>
      </c>
    </row>
    <row r="6">
      <c r="A6" t="s">
        <v>9</v>
      </c>
      <c r="B6" s="4">
        <v>0.1</v>
      </c>
      <c r="C6" t="s">
        <v>6</v>
      </c>
    </row>
    <row r="7">
      <c r="A7" t="s">
        <v>10</v>
      </c>
      <c r="B7" s="4">
        <v>0.1</v>
      </c>
      <c r="C7" t="s">
        <v>6</v>
      </c>
    </row>
    <row r="8"/>
    <row r="9">
      <c r="A9" s="2" t="s">
        <v>11</v>
      </c>
      <c r="B9" s="2" t="s">
        <v>12</v>
      </c>
      <c r="C9" s="2" t="s">
        <v>13</v>
      </c>
    </row>
    <row r="10">
      <c r="A10" t="s">
        <v>14</v>
      </c>
      <c r="B10" t="s">
        <v>15</v>
      </c>
      <c r="C10" s="5">
        <v>36000</v>
      </c>
    </row>
    <row r="11">
      <c r="A11" t="s">
        <v>16</v>
      </c>
      <c r="B11" t="s">
        <v>17</v>
      </c>
      <c r="C11" s="5">
        <v>12000</v>
      </c>
    </row>
    <row r="12">
      <c r="A12" t="s">
        <v>18</v>
      </c>
      <c r="B12" t="s">
        <v>19</v>
      </c>
      <c r="C12" s="5">
        <v>6000</v>
      </c>
    </row>
    <row r="13">
      <c r="A13" t="s">
        <v>20</v>
      </c>
      <c r="B13" t="s">
        <v>21</v>
      </c>
      <c r="C13" s="5">
        <v>6000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16" customWidth="1"/>
    <col min="2" max="2" width="15" customWidth="1"/>
    <col min="3" max="3" width="16" customWidth="1"/>
    <col min="4" max="4" width="15" customWidth="1"/>
    <col min="5" max="5" width="16" customWidth="1"/>
    <col min="6" max="6" width="16" customWidth="1"/>
    <col min="7" max="7" width="24" customWidth="1"/>
    <col min="8" max="8" width="24" customWidth="1"/>
  </cols>
  <sheetData>
    <row r="1">
      <c r="A1" s="1" t="s">
        <v>0</v>
      </c>
    </row>
    <row r="2">
      <c r="A2" s="2" t="s">
        <v>22</v>
      </c>
      <c r="B2" s="2" t="s">
        <v>23</v>
      </c>
      <c r="C2" s="2" t="s">
        <v>4</v>
      </c>
      <c r="D2" s="2" t="s">
        <v>11</v>
      </c>
      <c r="E2" s="2" t="s">
        <v>24</v>
      </c>
      <c r="F2" s="2" t="s">
        <v>25</v>
      </c>
      <c r="G2" s="2" t="s">
        <v>26</v>
      </c>
      <c r="H2" s="2" t="s">
        <v>12</v>
      </c>
    </row>
    <row r="3">
      <c r="A3" t="s">
        <v>27</v>
      </c>
      <c r="B3" s="3">
        <v>46231</v>
      </c>
      <c r="C3" t="s">
        <v>5</v>
      </c>
      <c r="D3" t="s">
        <v>14</v>
      </c>
      <c r="E3" s="5">
        <v>10800</v>
      </c>
      <c r="F3">
        <f>IF(C3&lt;&gt;Inputs!$B$3,"EXCLUDED",IF(OR(B3&lt;Inputs!$B$4,B3&gt;Inputs!$B$5),"EXCLUDED","INCLUDED"))</f>
      </c>
      <c r="G3">
        <f>IF(C3&lt;&gt;Inputs!$B$3,"OTHER_GRANT",IF(B3&lt;Inputs!$B$4,"OUTSIDE_PERIOD_BEFORE",IF(B3&gt;Inputs!$B$5,"OUTSIDE_PERIOD_AFTER","")))</f>
      </c>
      <c r="H3">
        <f>IFERROR(VLOOKUP(D3,Inputs!$A$10:$C$13,2,FALSE),"UNMAPPED")</f>
      </c>
    </row>
    <row r="4">
      <c r="A4" t="s">
        <v>28</v>
      </c>
      <c r="B4" s="3">
        <v>46262</v>
      </c>
      <c r="C4" t="s">
        <v>5</v>
      </c>
      <c r="D4" t="s">
        <v>14</v>
      </c>
      <c r="E4" s="5">
        <v>10800</v>
      </c>
      <c r="F4">
        <f>IF(C4&lt;&gt;Inputs!$B$3,"EXCLUDED",IF(OR(B4&lt;Inputs!$B$4,B4&gt;Inputs!$B$5),"EXCLUDED","INCLUDED"))</f>
      </c>
      <c r="G4">
        <f>IF(C4&lt;&gt;Inputs!$B$3,"OTHER_GRANT",IF(B4&lt;Inputs!$B$4,"OUTSIDE_PERIOD_BEFORE",IF(B4&gt;Inputs!$B$5,"OUTSIDE_PERIOD_AFTER","")))</f>
      </c>
      <c r="H4">
        <f>IFERROR(VLOOKUP(D4,Inputs!$A$10:$C$13,2,FALSE),"UNMAPPED")</f>
      </c>
    </row>
    <row r="5">
      <c r="A5" t="s">
        <v>29</v>
      </c>
      <c r="B5" s="3">
        <v>46293</v>
      </c>
      <c r="C5" t="s">
        <v>5</v>
      </c>
      <c r="D5" t="s">
        <v>14</v>
      </c>
      <c r="E5" s="5">
        <v>10800</v>
      </c>
      <c r="F5">
        <f>IF(C5&lt;&gt;Inputs!$B$3,"EXCLUDED",IF(OR(B5&lt;Inputs!$B$4,B5&gt;Inputs!$B$5),"EXCLUDED","INCLUDED"))</f>
      </c>
      <c r="G5">
        <f>IF(C5&lt;&gt;Inputs!$B$3,"OTHER_GRANT",IF(B5&lt;Inputs!$B$4,"OUTSIDE_PERIOD_BEFORE",IF(B5&gt;Inputs!$B$5,"OUTSIDE_PERIOD_AFTER","")))</f>
      </c>
      <c r="H5">
        <f>IFERROR(VLOOKUP(D5,Inputs!$A$10:$C$13,2,FALSE),"UNMAPPED")</f>
      </c>
    </row>
    <row r="6">
      <c r="A6" t="s">
        <v>30</v>
      </c>
      <c r="B6" s="3">
        <v>46231</v>
      </c>
      <c r="C6" t="s">
        <v>5</v>
      </c>
      <c r="D6" t="s">
        <v>16</v>
      </c>
      <c r="E6" s="5">
        <v>4000</v>
      </c>
      <c r="F6">
        <f>IF(C6&lt;&gt;Inputs!$B$3,"EXCLUDED",IF(OR(B6&lt;Inputs!$B$4,B6&gt;Inputs!$B$5),"EXCLUDED","INCLUDED"))</f>
      </c>
      <c r="G6">
        <f>IF(C6&lt;&gt;Inputs!$B$3,"OTHER_GRANT",IF(B6&lt;Inputs!$B$4,"OUTSIDE_PERIOD_BEFORE",IF(B6&gt;Inputs!$B$5,"OUTSIDE_PERIOD_AFTER","")))</f>
      </c>
      <c r="H6">
        <f>IFERROR(VLOOKUP(D6,Inputs!$A$10:$C$13,2,FALSE),"UNMAPPED")</f>
      </c>
    </row>
    <row r="7">
      <c r="A7" t="s">
        <v>31</v>
      </c>
      <c r="B7" s="3">
        <v>46262</v>
      </c>
      <c r="C7" t="s">
        <v>5</v>
      </c>
      <c r="D7" t="s">
        <v>16</v>
      </c>
      <c r="E7" s="5">
        <v>4800</v>
      </c>
      <c r="F7">
        <f>IF(C7&lt;&gt;Inputs!$B$3,"EXCLUDED",IF(OR(B7&lt;Inputs!$B$4,B7&gt;Inputs!$B$5),"EXCLUDED","INCLUDED"))</f>
      </c>
      <c r="G7">
        <f>IF(C7&lt;&gt;Inputs!$B$3,"OTHER_GRANT",IF(B7&lt;Inputs!$B$4,"OUTSIDE_PERIOD_BEFORE",IF(B7&gt;Inputs!$B$5,"OUTSIDE_PERIOD_AFTER","")))</f>
      </c>
      <c r="H7">
        <f>IFERROR(VLOOKUP(D7,Inputs!$A$10:$C$13,2,FALSE),"UNMAPPED")</f>
      </c>
    </row>
    <row r="8">
      <c r="A8" t="s">
        <v>32</v>
      </c>
      <c r="B8" s="3">
        <v>46293</v>
      </c>
      <c r="C8" t="s">
        <v>5</v>
      </c>
      <c r="D8" t="s">
        <v>16</v>
      </c>
      <c r="E8" s="5">
        <v>5000</v>
      </c>
      <c r="F8">
        <f>IF(C8&lt;&gt;Inputs!$B$3,"EXCLUDED",IF(OR(B8&lt;Inputs!$B$4,B8&gt;Inputs!$B$5),"EXCLUDED","INCLUDED"))</f>
      </c>
      <c r="G8">
        <f>IF(C8&lt;&gt;Inputs!$B$3,"OTHER_GRANT",IF(B8&lt;Inputs!$B$4,"OUTSIDE_PERIOD_BEFORE",IF(B8&gt;Inputs!$B$5,"OUTSIDE_PERIOD_AFTER","")))</f>
      </c>
      <c r="H8">
        <f>IFERROR(VLOOKUP(D8,Inputs!$A$10:$C$13,2,FALSE),"UNMAPPED")</f>
      </c>
    </row>
    <row r="9">
      <c r="A9" t="s">
        <v>33</v>
      </c>
      <c r="B9" s="3">
        <v>46231</v>
      </c>
      <c r="C9" t="s">
        <v>5</v>
      </c>
      <c r="D9" t="s">
        <v>18</v>
      </c>
      <c r="E9" s="5">
        <v>1200</v>
      </c>
      <c r="F9">
        <f>IF(C9&lt;&gt;Inputs!$B$3,"EXCLUDED",IF(OR(B9&lt;Inputs!$B$4,B9&gt;Inputs!$B$5),"EXCLUDED","INCLUDED"))</f>
      </c>
      <c r="G9">
        <f>IF(C9&lt;&gt;Inputs!$B$3,"OTHER_GRANT",IF(B9&lt;Inputs!$B$4,"OUTSIDE_PERIOD_BEFORE",IF(B9&gt;Inputs!$B$5,"OUTSIDE_PERIOD_AFTER","")))</f>
      </c>
      <c r="H9">
        <f>IFERROR(VLOOKUP(D9,Inputs!$A$10:$C$13,2,FALSE),"UNMAPPED")</f>
      </c>
    </row>
    <row r="10">
      <c r="A10" t="s">
        <v>34</v>
      </c>
      <c r="B10" s="3">
        <v>46262</v>
      </c>
      <c r="C10" t="s">
        <v>5</v>
      </c>
      <c r="D10" t="s">
        <v>18</v>
      </c>
      <c r="E10" s="5">
        <v>1400</v>
      </c>
      <c r="F10">
        <f>IF(C10&lt;&gt;Inputs!$B$3,"EXCLUDED",IF(OR(B10&lt;Inputs!$B$4,B10&gt;Inputs!$B$5),"EXCLUDED","INCLUDED"))</f>
      </c>
      <c r="G10">
        <f>IF(C10&lt;&gt;Inputs!$B$3,"OTHER_GRANT",IF(B10&lt;Inputs!$B$4,"OUTSIDE_PERIOD_BEFORE",IF(B10&gt;Inputs!$B$5,"OUTSIDE_PERIOD_AFTER","")))</f>
      </c>
      <c r="H10">
        <f>IFERROR(VLOOKUP(D10,Inputs!$A$10:$C$13,2,FALSE),"UNMAPPED")</f>
      </c>
    </row>
    <row r="11">
      <c r="A11" t="s">
        <v>35</v>
      </c>
      <c r="B11" s="3">
        <v>46293</v>
      </c>
      <c r="C11" t="s">
        <v>5</v>
      </c>
      <c r="D11" t="s">
        <v>18</v>
      </c>
      <c r="E11" s="5">
        <v>1600</v>
      </c>
      <c r="F11">
        <f>IF(C11&lt;&gt;Inputs!$B$3,"EXCLUDED",IF(OR(B11&lt;Inputs!$B$4,B11&gt;Inputs!$B$5),"EXCLUDED","INCLUDED"))</f>
      </c>
      <c r="G11">
        <f>IF(C11&lt;&gt;Inputs!$B$3,"OTHER_GRANT",IF(B11&lt;Inputs!$B$4,"OUTSIDE_PERIOD_BEFORE",IF(B11&gt;Inputs!$B$5,"OUTSIDE_PERIOD_AFTER","")))</f>
      </c>
      <c r="H11">
        <f>IFERROR(VLOOKUP(D11,Inputs!$A$10:$C$13,2,FALSE),"UNMAPPED")</f>
      </c>
    </row>
    <row r="12">
      <c r="A12" t="s">
        <v>36</v>
      </c>
      <c r="B12" s="3">
        <v>46231</v>
      </c>
      <c r="C12" t="s">
        <v>5</v>
      </c>
      <c r="D12" t="s">
        <v>20</v>
      </c>
      <c r="E12" s="5">
        <v>1500</v>
      </c>
      <c r="F12">
        <f>IF(C12&lt;&gt;Inputs!$B$3,"EXCLUDED",IF(OR(B12&lt;Inputs!$B$4,B12&gt;Inputs!$B$5),"EXCLUDED","INCLUDED"))</f>
      </c>
      <c r="G12">
        <f>IF(C12&lt;&gt;Inputs!$B$3,"OTHER_GRANT",IF(B12&lt;Inputs!$B$4,"OUTSIDE_PERIOD_BEFORE",IF(B12&gt;Inputs!$B$5,"OUTSIDE_PERIOD_AFTER","")))</f>
      </c>
      <c r="H12">
        <f>IFERROR(VLOOKUP(D12,Inputs!$A$10:$C$13,2,FALSE),"UNMAPPED")</f>
      </c>
    </row>
    <row r="13">
      <c r="A13" t="s">
        <v>37</v>
      </c>
      <c r="B13" s="3">
        <v>46262</v>
      </c>
      <c r="C13" t="s">
        <v>5</v>
      </c>
      <c r="D13" t="s">
        <v>20</v>
      </c>
      <c r="E13" s="5">
        <v>1700</v>
      </c>
      <c r="F13">
        <f>IF(C13&lt;&gt;Inputs!$B$3,"EXCLUDED",IF(OR(B13&lt;Inputs!$B$4,B13&gt;Inputs!$B$5),"EXCLUDED","INCLUDED"))</f>
      </c>
      <c r="G13">
        <f>IF(C13&lt;&gt;Inputs!$B$3,"OTHER_GRANT",IF(B13&lt;Inputs!$B$4,"OUTSIDE_PERIOD_BEFORE",IF(B13&gt;Inputs!$B$5,"OUTSIDE_PERIOD_AFTER","")))</f>
      </c>
      <c r="H13">
        <f>IFERROR(VLOOKUP(D13,Inputs!$A$10:$C$13,2,FALSE),"UNMAPPED")</f>
      </c>
    </row>
    <row r="14">
      <c r="A14" t="s">
        <v>38</v>
      </c>
      <c r="B14" s="3">
        <v>46293</v>
      </c>
      <c r="C14" t="s">
        <v>5</v>
      </c>
      <c r="D14" t="s">
        <v>20</v>
      </c>
      <c r="E14" s="5">
        <v>1800</v>
      </c>
      <c r="F14">
        <f>IF(C14&lt;&gt;Inputs!$B$3,"EXCLUDED",IF(OR(B14&lt;Inputs!$B$4,B14&gt;Inputs!$B$5),"EXCLUDED","INCLUDED"))</f>
      </c>
      <c r="G14">
        <f>IF(C14&lt;&gt;Inputs!$B$3,"OTHER_GRANT",IF(B14&lt;Inputs!$B$4,"OUTSIDE_PERIOD_BEFORE",IF(B14&gt;Inputs!$B$5,"OUTSIDE_PERIOD_AFTER","")))</f>
      </c>
      <c r="H14">
        <f>IFERROR(VLOOKUP(D14,Inputs!$A$10:$C$13,2,FALSE),"UNMAPPED")</f>
      </c>
    </row>
    <row r="15">
      <c r="A15" t="s">
        <v>39</v>
      </c>
      <c r="B15" s="3">
        <v>46295</v>
      </c>
      <c r="C15" t="s">
        <v>5</v>
      </c>
      <c r="D15" t="s">
        <v>20</v>
      </c>
      <c r="E15" s="5">
        <v>-200</v>
      </c>
      <c r="F15">
        <f>IF(C15&lt;&gt;Inputs!$B$3,"EXCLUDED",IF(OR(B15&lt;Inputs!$B$4,B15&gt;Inputs!$B$5),"EXCLUDED","INCLUDED"))</f>
      </c>
      <c r="G15">
        <f>IF(C15&lt;&gt;Inputs!$B$3,"OTHER_GRANT",IF(B15&lt;Inputs!$B$4,"OUTSIDE_PERIOD_BEFORE",IF(B15&gt;Inputs!$B$5,"OUTSIDE_PERIOD_AFTER","")))</f>
      </c>
      <c r="H15">
        <f>IFERROR(VLOOKUP(D15,Inputs!$A$10:$C$13,2,FALSE),"UNMAPPED")</f>
      </c>
    </row>
    <row r="16">
      <c r="A16" t="s">
        <v>40</v>
      </c>
      <c r="B16" s="3">
        <v>46296</v>
      </c>
      <c r="C16" t="s">
        <v>5</v>
      </c>
      <c r="D16" t="s">
        <v>18</v>
      </c>
      <c r="E16" s="5">
        <v>1200</v>
      </c>
      <c r="F16">
        <f>IF(C16&lt;&gt;Inputs!$B$3,"EXCLUDED",IF(OR(B16&lt;Inputs!$B$4,B16&gt;Inputs!$B$5),"EXCLUDED","INCLUDED"))</f>
      </c>
      <c r="G16">
        <f>IF(C16&lt;&gt;Inputs!$B$3,"OTHER_GRANT",IF(B16&lt;Inputs!$B$4,"OUTSIDE_PERIOD_BEFORE",IF(B16&gt;Inputs!$B$5,"OUTSIDE_PERIOD_AFTER","")))</f>
      </c>
      <c r="H16">
        <f>IFERROR(VLOOKUP(D16,Inputs!$A$10:$C$13,2,FALSE),"UNMAPPED")</f>
      </c>
    </row>
    <row r="17">
      <c r="A17" t="s">
        <v>41</v>
      </c>
      <c r="B17" s="3">
        <v>46295</v>
      </c>
      <c r="C17" t="s">
        <v>42</v>
      </c>
      <c r="D17" t="s">
        <v>20</v>
      </c>
      <c r="E17" s="5">
        <v>800</v>
      </c>
      <c r="F17">
        <f>IF(C17&lt;&gt;Inputs!$B$3,"EXCLUDED",IF(OR(B17&lt;Inputs!$B$4,B17&gt;Inputs!$B$5),"EXCLUDED","INCLUDED"))</f>
      </c>
      <c r="G17">
        <f>IF(C17&lt;&gt;Inputs!$B$3,"OTHER_GRANT",IF(B17&lt;Inputs!$B$4,"OUTSIDE_PERIOD_BEFORE",IF(B17&gt;Inputs!$B$5,"OUTSIDE_PERIOD_AFTER","")))</f>
      </c>
      <c r="H17">
        <f>IFERROR(VLOOKUP(D17,Inputs!$A$10:$C$13,2,FALSE),"UNMAPPED")</f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2" xSplit="0" topLeftCell="A3" activePane="bottomRight" state="frozen"/>
    </sheetView>
  </sheetViews>
  <cols>
    <col min="1" max="1" width="25" customWidth="1"/>
    <col min="2" max="2" width="17" customWidth="1"/>
    <col min="3" max="3" width="17" customWidth="1"/>
    <col min="4" max="4" width="22" customWidth="1"/>
    <col min="5" max="5" width="14" customWidth="1"/>
    <col min="6" max="6" width="22" customWidth="1"/>
    <col min="7" max="7" width="25" customWidth="1"/>
  </cols>
  <sheetData>
    <row r="1">
      <c r="A1" s="1" t="s">
        <v>0</v>
      </c>
    </row>
    <row r="2">
      <c r="A2" s="2" t="s">
        <v>12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</row>
    <row r="3">
      <c r="A3" t="s">
        <v>15</v>
      </c>
      <c r="B3">
        <f>Inputs!$C$10</f>
      </c>
      <c r="C3">
        <f>SUMIFS(Ledger!$E$3:$E$17,Ledger!$H$3:$H$17,A3,Ledger!$F$3:$F$17,"INCLUDED")</f>
      </c>
      <c r="D3">
        <f>C3-B3</f>
      </c>
      <c r="E3">
        <f>IF(B3=0,"undefined",D3/B3)</f>
      </c>
      <c r="F3">
        <f>IF(OR(E3="undefined",ABS(E3)&gt;=Inputs!$B$6),"EXPLAIN","")</f>
      </c>
      <c r="G3">
        <f>IF(AND(E3&lt;&gt;"undefined",E3&gt;Inputs!$B$7),"APPROVAL REQUIRED","")</f>
      </c>
    </row>
    <row r="4">
      <c r="A4" t="s">
        <v>17</v>
      </c>
      <c r="B4">
        <f>Inputs!$C$11</f>
      </c>
      <c r="C4">
        <f>SUMIFS(Ledger!$E$3:$E$17,Ledger!$H$3:$H$17,A4,Ledger!$F$3:$F$17,"INCLUDED")</f>
      </c>
      <c r="D4">
        <f>C4-B4</f>
      </c>
      <c r="E4">
        <f>IF(B4=0,"undefined",D4/B4)</f>
      </c>
      <c r="F4">
        <f>IF(OR(E4="undefined",ABS(E4)&gt;=Inputs!$B$6),"EXPLAIN","")</f>
      </c>
      <c r="G4">
        <f>IF(AND(E4&lt;&gt;"undefined",E4&gt;Inputs!$B$7),"APPROVAL REQUIRED","")</f>
      </c>
    </row>
    <row r="5">
      <c r="A5" t="s">
        <v>19</v>
      </c>
      <c r="B5">
        <f>Inputs!$C$12</f>
      </c>
      <c r="C5">
        <f>SUMIFS(Ledger!$E$3:$E$17,Ledger!$H$3:$H$17,A5,Ledger!$F$3:$F$17,"INCLUDED")</f>
      </c>
      <c r="D5">
        <f>C5-B5</f>
      </c>
      <c r="E5">
        <f>IF(B5=0,"undefined",D5/B5)</f>
      </c>
      <c r="F5">
        <f>IF(OR(E5="undefined",ABS(E5)&gt;=Inputs!$B$6),"EXPLAIN","")</f>
      </c>
      <c r="G5">
        <f>IF(AND(E5&lt;&gt;"undefined",E5&gt;Inputs!$B$7),"APPROVAL REQUIRED","")</f>
      </c>
    </row>
    <row r="6">
      <c r="A6" t="s">
        <v>21</v>
      </c>
      <c r="B6">
        <f>Inputs!$C$13</f>
      </c>
      <c r="C6">
        <f>SUMIFS(Ledger!$E$3:$E$17,Ledger!$H$3:$H$17,A6,Ledger!$F$3:$F$17,"INCLUDED")</f>
      </c>
      <c r="D6">
        <f>C6-B6</f>
      </c>
      <c r="E6">
        <f>IF(B6=0,"undefined",D6/B6)</f>
      </c>
      <c r="F6">
        <f>IF(OR(E6="undefined",ABS(E6)&gt;=Inputs!$B$6),"EXPLAIN","")</f>
      </c>
      <c r="G6">
        <f>IF(AND(E6&lt;&gt;"undefined",E6&gt;Inputs!$B$7),"APPROVAL REQUIRED","")</f>
      </c>
    </row>
    <row r="7">
      <c r="A7" t="s">
        <v>49</v>
      </c>
      <c r="B7">
        <f>SUM(B3:B6)</f>
      </c>
      <c r="C7">
        <f>SUM(C3:C6)</f>
      </c>
      <c r="D7">
        <f>C7-B7</f>
      </c>
      <c r="E7">
        <f>IF(B7=0,"undefined",D7/B7)</f>
      </c>
    </row>
  </sheetData>
</worksheet>
</file>